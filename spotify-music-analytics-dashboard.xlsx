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5ce15e9ddcf48b7a/Desktop/Dashboard Project/"/>
    </mc:Choice>
  </mc:AlternateContent>
  <xr:revisionPtr revIDLastSave="0" documentId="8_{66D1AE05-1EFB-4C8E-AEA1-BF134625183B}" xr6:coauthVersionLast="47" xr6:coauthVersionMax="47" xr10:uidLastSave="{00000000-0000-0000-0000-000000000000}"/>
  <bookViews>
    <workbookView xWindow="-96" yWindow="0" windowWidth="11712" windowHeight="12336" firstSheet="2" activeTab="3" xr2:uid="{1A2FE4CC-B0D7-4BA7-8FE5-F7E33622865A}"/>
  </bookViews>
  <sheets>
    <sheet name="Dashboard" sheetId="5" r:id="rId1"/>
    <sheet name=" Raw_Data" sheetId="1" r:id="rId2"/>
    <sheet name="Cleaned_Data" sheetId="2" r:id="rId3"/>
    <sheet name="Pivot_Analysis" sheetId="3" r:id="rId4"/>
  </sheets>
  <definedNames>
    <definedName name="Slicer_content_type">#N/A</definedName>
    <definedName name="Slicer_energy_level">#N/A</definedName>
    <definedName name="Slicer_popularity_level">#N/A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3" l="1"/>
  <c r="E6" i="3"/>
  <c r="E7" i="3"/>
  <c r="E8" i="3"/>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I11" i="2"/>
  <c r="I17" i="2"/>
  <c r="I27" i="2"/>
  <c r="I33" i="2"/>
  <c r="I43" i="2"/>
  <c r="I49" i="2"/>
  <c r="I59" i="2"/>
  <c r="I65" i="2"/>
  <c r="I75" i="2"/>
  <c r="I81" i="2"/>
  <c r="I91" i="2"/>
  <c r="I97" i="2"/>
  <c r="I107" i="2"/>
  <c r="I113" i="2"/>
  <c r="I123" i="2"/>
  <c r="I129" i="2"/>
  <c r="I139" i="2"/>
  <c r="I145" i="2"/>
  <c r="I155" i="2"/>
  <c r="I161" i="2"/>
  <c r="I177" i="2"/>
  <c r="I193" i="2"/>
  <c r="I209" i="2"/>
  <c r="I225" i="2"/>
  <c r="I241" i="2"/>
  <c r="I257" i="2"/>
  <c r="I273" i="2"/>
  <c r="I289" i="2"/>
  <c r="I305" i="2"/>
  <c r="I321" i="2"/>
  <c r="I337" i="2"/>
  <c r="I357" i="2"/>
  <c r="I377" i="2"/>
  <c r="I399" i="2"/>
  <c r="I421" i="2"/>
  <c r="I441" i="2"/>
  <c r="I463" i="2"/>
  <c r="I485" i="2"/>
  <c r="E2" i="2"/>
  <c r="I2" i="2" s="1"/>
  <c r="E3" i="2"/>
  <c r="I3" i="2" s="1"/>
  <c r="E4" i="2"/>
  <c r="I4" i="2" s="1"/>
  <c r="E5" i="2"/>
  <c r="I5" i="2" s="1"/>
  <c r="E6" i="2"/>
  <c r="I6" i="2" s="1"/>
  <c r="E7" i="2"/>
  <c r="I7" i="2" s="1"/>
  <c r="E8" i="2"/>
  <c r="I8" i="2" s="1"/>
  <c r="E9" i="2"/>
  <c r="I9" i="2" s="1"/>
  <c r="E10" i="2"/>
  <c r="I10" i="2" s="1"/>
  <c r="E11" i="2"/>
  <c r="E12" i="2"/>
  <c r="I12" i="2" s="1"/>
  <c r="E13" i="2"/>
  <c r="I13" i="2" s="1"/>
  <c r="E14" i="2"/>
  <c r="I14" i="2" s="1"/>
  <c r="E15" i="2"/>
  <c r="I15" i="2" s="1"/>
  <c r="E16" i="2"/>
  <c r="I16" i="2" s="1"/>
  <c r="E17" i="2"/>
  <c r="E18" i="2"/>
  <c r="I18" i="2" s="1"/>
  <c r="E19" i="2"/>
  <c r="I19" i="2" s="1"/>
  <c r="E20" i="2"/>
  <c r="I20" i="2" s="1"/>
  <c r="E21" i="2"/>
  <c r="I21" i="2" s="1"/>
  <c r="E22" i="2"/>
  <c r="I22" i="2" s="1"/>
  <c r="E23" i="2"/>
  <c r="I23" i="2" s="1"/>
  <c r="E24" i="2"/>
  <c r="I24" i="2" s="1"/>
  <c r="E25" i="2"/>
  <c r="I25" i="2" s="1"/>
  <c r="E26" i="2"/>
  <c r="I26" i="2" s="1"/>
  <c r="E27" i="2"/>
  <c r="E28" i="2"/>
  <c r="I28" i="2" s="1"/>
  <c r="E29" i="2"/>
  <c r="I29" i="2" s="1"/>
  <c r="E30" i="2"/>
  <c r="I30" i="2" s="1"/>
  <c r="E31" i="2"/>
  <c r="I31" i="2" s="1"/>
  <c r="E32" i="2"/>
  <c r="I32" i="2" s="1"/>
  <c r="E33" i="2"/>
  <c r="E34" i="2"/>
  <c r="I34" i="2" s="1"/>
  <c r="E35" i="2"/>
  <c r="I35" i="2" s="1"/>
  <c r="E36" i="2"/>
  <c r="I36" i="2" s="1"/>
  <c r="E37" i="2"/>
  <c r="I37" i="2" s="1"/>
  <c r="E38" i="2"/>
  <c r="I38" i="2" s="1"/>
  <c r="E39" i="2"/>
  <c r="I39" i="2" s="1"/>
  <c r="E40" i="2"/>
  <c r="I40" i="2" s="1"/>
  <c r="E41" i="2"/>
  <c r="I41" i="2" s="1"/>
  <c r="E42" i="2"/>
  <c r="I42" i="2" s="1"/>
  <c r="E43" i="2"/>
  <c r="E44" i="2"/>
  <c r="I44" i="2" s="1"/>
  <c r="E45" i="2"/>
  <c r="I45" i="2" s="1"/>
  <c r="E46" i="2"/>
  <c r="I46" i="2" s="1"/>
  <c r="E47" i="2"/>
  <c r="I47" i="2" s="1"/>
  <c r="E48" i="2"/>
  <c r="I48" i="2" s="1"/>
  <c r="E49" i="2"/>
  <c r="E50" i="2"/>
  <c r="I50" i="2" s="1"/>
  <c r="E51" i="2"/>
  <c r="I51" i="2" s="1"/>
  <c r="E52" i="2"/>
  <c r="I52" i="2" s="1"/>
  <c r="E53" i="2"/>
  <c r="I53" i="2" s="1"/>
  <c r="E54" i="2"/>
  <c r="I54" i="2" s="1"/>
  <c r="E55" i="2"/>
  <c r="I55" i="2" s="1"/>
  <c r="E56" i="2"/>
  <c r="I56" i="2" s="1"/>
  <c r="E57" i="2"/>
  <c r="I57" i="2" s="1"/>
  <c r="E58" i="2"/>
  <c r="I58" i="2" s="1"/>
  <c r="E59" i="2"/>
  <c r="E60" i="2"/>
  <c r="I60" i="2" s="1"/>
  <c r="E61" i="2"/>
  <c r="I61" i="2" s="1"/>
  <c r="E62" i="2"/>
  <c r="I62" i="2" s="1"/>
  <c r="E63" i="2"/>
  <c r="I63" i="2" s="1"/>
  <c r="E64" i="2"/>
  <c r="I64" i="2" s="1"/>
  <c r="E65" i="2"/>
  <c r="E66" i="2"/>
  <c r="I66" i="2" s="1"/>
  <c r="E67" i="2"/>
  <c r="I67" i="2" s="1"/>
  <c r="E68" i="2"/>
  <c r="I68" i="2" s="1"/>
  <c r="E69" i="2"/>
  <c r="I69" i="2" s="1"/>
  <c r="E70" i="2"/>
  <c r="I70" i="2" s="1"/>
  <c r="E71" i="2"/>
  <c r="I71" i="2" s="1"/>
  <c r="E72" i="2"/>
  <c r="I72" i="2" s="1"/>
  <c r="E73" i="2"/>
  <c r="I73" i="2" s="1"/>
  <c r="E74" i="2"/>
  <c r="I74" i="2" s="1"/>
  <c r="E75" i="2"/>
  <c r="E76" i="2"/>
  <c r="I76" i="2" s="1"/>
  <c r="E77" i="2"/>
  <c r="I77" i="2" s="1"/>
  <c r="E78" i="2"/>
  <c r="I78" i="2" s="1"/>
  <c r="E79" i="2"/>
  <c r="I79" i="2" s="1"/>
  <c r="E80" i="2"/>
  <c r="I80" i="2" s="1"/>
  <c r="E81" i="2"/>
  <c r="E82" i="2"/>
  <c r="I82" i="2" s="1"/>
  <c r="E83" i="2"/>
  <c r="I83" i="2" s="1"/>
  <c r="E84" i="2"/>
  <c r="I84" i="2" s="1"/>
  <c r="E85" i="2"/>
  <c r="I85" i="2" s="1"/>
  <c r="E86" i="2"/>
  <c r="I86" i="2" s="1"/>
  <c r="E87" i="2"/>
  <c r="I87" i="2" s="1"/>
  <c r="E88" i="2"/>
  <c r="I88" i="2" s="1"/>
  <c r="E89" i="2"/>
  <c r="I89" i="2" s="1"/>
  <c r="E90" i="2"/>
  <c r="I90" i="2" s="1"/>
  <c r="E91" i="2"/>
  <c r="E92" i="2"/>
  <c r="I92" i="2" s="1"/>
  <c r="E93" i="2"/>
  <c r="I93" i="2" s="1"/>
  <c r="E94" i="2"/>
  <c r="I94" i="2" s="1"/>
  <c r="E95" i="2"/>
  <c r="I95" i="2" s="1"/>
  <c r="E96" i="2"/>
  <c r="I96" i="2" s="1"/>
  <c r="E97" i="2"/>
  <c r="E98" i="2"/>
  <c r="I98" i="2" s="1"/>
  <c r="E99" i="2"/>
  <c r="I99" i="2" s="1"/>
  <c r="E100" i="2"/>
  <c r="I100" i="2" s="1"/>
  <c r="E101" i="2"/>
  <c r="I101" i="2" s="1"/>
  <c r="E102" i="2"/>
  <c r="I102" i="2" s="1"/>
  <c r="E103" i="2"/>
  <c r="I103" i="2" s="1"/>
  <c r="E104" i="2"/>
  <c r="I104" i="2" s="1"/>
  <c r="E105" i="2"/>
  <c r="I105" i="2" s="1"/>
  <c r="E106" i="2"/>
  <c r="I106" i="2" s="1"/>
  <c r="E107" i="2"/>
  <c r="E108" i="2"/>
  <c r="I108" i="2" s="1"/>
  <c r="E109" i="2"/>
  <c r="I109" i="2" s="1"/>
  <c r="E110" i="2"/>
  <c r="I110" i="2" s="1"/>
  <c r="E111" i="2"/>
  <c r="I111" i="2" s="1"/>
  <c r="E112" i="2"/>
  <c r="I112" i="2" s="1"/>
  <c r="E113" i="2"/>
  <c r="E114" i="2"/>
  <c r="I114" i="2" s="1"/>
  <c r="E115" i="2"/>
  <c r="I115" i="2" s="1"/>
  <c r="E116" i="2"/>
  <c r="I116" i="2" s="1"/>
  <c r="E117" i="2"/>
  <c r="I117" i="2" s="1"/>
  <c r="E118" i="2"/>
  <c r="I118" i="2" s="1"/>
  <c r="E119" i="2"/>
  <c r="I119" i="2" s="1"/>
  <c r="E120" i="2"/>
  <c r="I120" i="2" s="1"/>
  <c r="E121" i="2"/>
  <c r="I121" i="2" s="1"/>
  <c r="E122" i="2"/>
  <c r="I122" i="2" s="1"/>
  <c r="E123" i="2"/>
  <c r="E124" i="2"/>
  <c r="I124" i="2" s="1"/>
  <c r="E125" i="2"/>
  <c r="I125" i="2" s="1"/>
  <c r="E126" i="2"/>
  <c r="I126" i="2" s="1"/>
  <c r="E127" i="2"/>
  <c r="I127" i="2" s="1"/>
  <c r="E128" i="2"/>
  <c r="I128" i="2" s="1"/>
  <c r="E129" i="2"/>
  <c r="E130" i="2"/>
  <c r="I130" i="2" s="1"/>
  <c r="E131" i="2"/>
  <c r="I131" i="2" s="1"/>
  <c r="E132" i="2"/>
  <c r="I132" i="2" s="1"/>
  <c r="E133" i="2"/>
  <c r="I133" i="2" s="1"/>
  <c r="E134" i="2"/>
  <c r="I134" i="2" s="1"/>
  <c r="E135" i="2"/>
  <c r="I135" i="2" s="1"/>
  <c r="E136" i="2"/>
  <c r="I136" i="2" s="1"/>
  <c r="E137" i="2"/>
  <c r="I137" i="2" s="1"/>
  <c r="E138" i="2"/>
  <c r="I138" i="2" s="1"/>
  <c r="E139" i="2"/>
  <c r="E140" i="2"/>
  <c r="I140" i="2" s="1"/>
  <c r="E141" i="2"/>
  <c r="I141" i="2" s="1"/>
  <c r="E142" i="2"/>
  <c r="I142" i="2" s="1"/>
  <c r="E143" i="2"/>
  <c r="I143" i="2" s="1"/>
  <c r="E144" i="2"/>
  <c r="I144" i="2" s="1"/>
  <c r="E145" i="2"/>
  <c r="E146" i="2"/>
  <c r="I146" i="2" s="1"/>
  <c r="E147" i="2"/>
  <c r="I147" i="2" s="1"/>
  <c r="E148" i="2"/>
  <c r="I148" i="2" s="1"/>
  <c r="E149" i="2"/>
  <c r="I149" i="2" s="1"/>
  <c r="E150" i="2"/>
  <c r="I150" i="2" s="1"/>
  <c r="E151" i="2"/>
  <c r="I151" i="2" s="1"/>
  <c r="E152" i="2"/>
  <c r="I152" i="2" s="1"/>
  <c r="E153" i="2"/>
  <c r="I153" i="2" s="1"/>
  <c r="E154" i="2"/>
  <c r="I154" i="2" s="1"/>
  <c r="E155" i="2"/>
  <c r="E156" i="2"/>
  <c r="I156" i="2" s="1"/>
  <c r="E157" i="2"/>
  <c r="I157" i="2" s="1"/>
  <c r="E158" i="2"/>
  <c r="I158" i="2" s="1"/>
  <c r="E159" i="2"/>
  <c r="I159" i="2" s="1"/>
  <c r="E160" i="2"/>
  <c r="I160" i="2" s="1"/>
  <c r="E161" i="2"/>
  <c r="E162" i="2"/>
  <c r="I162" i="2" s="1"/>
  <c r="E163" i="2"/>
  <c r="I163" i="2" s="1"/>
  <c r="E164" i="2"/>
  <c r="I164" i="2" s="1"/>
  <c r="E165" i="2"/>
  <c r="I165" i="2" s="1"/>
  <c r="E166" i="2"/>
  <c r="I166" i="2" s="1"/>
  <c r="E167" i="2"/>
  <c r="I167" i="2" s="1"/>
  <c r="E168" i="2"/>
  <c r="I168" i="2" s="1"/>
  <c r="E169" i="2"/>
  <c r="I169" i="2" s="1"/>
  <c r="E170" i="2"/>
  <c r="I170" i="2" s="1"/>
  <c r="E171" i="2"/>
  <c r="I171" i="2" s="1"/>
  <c r="E172" i="2"/>
  <c r="I172" i="2" s="1"/>
  <c r="E173" i="2"/>
  <c r="I173" i="2" s="1"/>
  <c r="E174" i="2"/>
  <c r="I174" i="2" s="1"/>
  <c r="E175" i="2"/>
  <c r="I175" i="2" s="1"/>
  <c r="E176" i="2"/>
  <c r="I176" i="2" s="1"/>
  <c r="E177" i="2"/>
  <c r="E178" i="2"/>
  <c r="I178" i="2" s="1"/>
  <c r="E179" i="2"/>
  <c r="I179" i="2" s="1"/>
  <c r="E180" i="2"/>
  <c r="I180" i="2" s="1"/>
  <c r="E181" i="2"/>
  <c r="I181" i="2" s="1"/>
  <c r="E182" i="2"/>
  <c r="I182" i="2" s="1"/>
  <c r="E183" i="2"/>
  <c r="I183" i="2" s="1"/>
  <c r="E184" i="2"/>
  <c r="I184" i="2" s="1"/>
  <c r="E185" i="2"/>
  <c r="I185" i="2" s="1"/>
  <c r="E186" i="2"/>
  <c r="I186" i="2" s="1"/>
  <c r="E187" i="2"/>
  <c r="I187" i="2" s="1"/>
  <c r="E188" i="2"/>
  <c r="I188" i="2" s="1"/>
  <c r="E189" i="2"/>
  <c r="I189" i="2" s="1"/>
  <c r="E190" i="2"/>
  <c r="I190" i="2" s="1"/>
  <c r="E191" i="2"/>
  <c r="I191" i="2" s="1"/>
  <c r="E192" i="2"/>
  <c r="I192" i="2" s="1"/>
  <c r="E193" i="2"/>
  <c r="E194" i="2"/>
  <c r="I194" i="2" s="1"/>
  <c r="E195" i="2"/>
  <c r="I195" i="2" s="1"/>
  <c r="E196" i="2"/>
  <c r="I196" i="2" s="1"/>
  <c r="E197" i="2"/>
  <c r="I197" i="2" s="1"/>
  <c r="E198" i="2"/>
  <c r="I198" i="2" s="1"/>
  <c r="E199" i="2"/>
  <c r="I199" i="2" s="1"/>
  <c r="E200" i="2"/>
  <c r="I200" i="2" s="1"/>
  <c r="E201" i="2"/>
  <c r="I201" i="2" s="1"/>
  <c r="E202" i="2"/>
  <c r="I202" i="2" s="1"/>
  <c r="E203" i="2"/>
  <c r="I203" i="2" s="1"/>
  <c r="E204" i="2"/>
  <c r="I204" i="2" s="1"/>
  <c r="E205" i="2"/>
  <c r="I205" i="2" s="1"/>
  <c r="E206" i="2"/>
  <c r="I206" i="2" s="1"/>
  <c r="E207" i="2"/>
  <c r="I207" i="2" s="1"/>
  <c r="E208" i="2"/>
  <c r="I208" i="2" s="1"/>
  <c r="E209" i="2"/>
  <c r="E210" i="2"/>
  <c r="I210" i="2" s="1"/>
  <c r="E211" i="2"/>
  <c r="I211" i="2" s="1"/>
  <c r="E212" i="2"/>
  <c r="I212" i="2" s="1"/>
  <c r="E213" i="2"/>
  <c r="I213" i="2" s="1"/>
  <c r="E214" i="2"/>
  <c r="I214" i="2" s="1"/>
  <c r="E215" i="2"/>
  <c r="I215" i="2" s="1"/>
  <c r="E216" i="2"/>
  <c r="I216" i="2" s="1"/>
  <c r="E217" i="2"/>
  <c r="I217" i="2" s="1"/>
  <c r="E218" i="2"/>
  <c r="I218" i="2" s="1"/>
  <c r="E219" i="2"/>
  <c r="I219" i="2" s="1"/>
  <c r="E220" i="2"/>
  <c r="I220" i="2" s="1"/>
  <c r="E221" i="2"/>
  <c r="I221" i="2" s="1"/>
  <c r="E222" i="2"/>
  <c r="I222" i="2" s="1"/>
  <c r="E223" i="2"/>
  <c r="I223" i="2" s="1"/>
  <c r="E224" i="2"/>
  <c r="I224" i="2" s="1"/>
  <c r="E225" i="2"/>
  <c r="E226" i="2"/>
  <c r="I226" i="2" s="1"/>
  <c r="E227" i="2"/>
  <c r="I227" i="2" s="1"/>
  <c r="E228" i="2"/>
  <c r="I228" i="2" s="1"/>
  <c r="E229" i="2"/>
  <c r="I229" i="2" s="1"/>
  <c r="E230" i="2"/>
  <c r="I230" i="2" s="1"/>
  <c r="E231" i="2"/>
  <c r="I231" i="2" s="1"/>
  <c r="E232" i="2"/>
  <c r="I232" i="2" s="1"/>
  <c r="E233" i="2"/>
  <c r="I233" i="2" s="1"/>
  <c r="E234" i="2"/>
  <c r="I234" i="2" s="1"/>
  <c r="E235" i="2"/>
  <c r="I235" i="2" s="1"/>
  <c r="E236" i="2"/>
  <c r="I236" i="2" s="1"/>
  <c r="E237" i="2"/>
  <c r="I237" i="2" s="1"/>
  <c r="E238" i="2"/>
  <c r="I238" i="2" s="1"/>
  <c r="E239" i="2"/>
  <c r="I239" i="2" s="1"/>
  <c r="E240" i="2"/>
  <c r="I240" i="2" s="1"/>
  <c r="E241" i="2"/>
  <c r="E242" i="2"/>
  <c r="I242" i="2" s="1"/>
  <c r="E243" i="2"/>
  <c r="I243" i="2" s="1"/>
  <c r="E244" i="2"/>
  <c r="I244" i="2" s="1"/>
  <c r="E245" i="2"/>
  <c r="I245" i="2" s="1"/>
  <c r="E246" i="2"/>
  <c r="I246" i="2" s="1"/>
  <c r="E247" i="2"/>
  <c r="I247" i="2" s="1"/>
  <c r="E248" i="2"/>
  <c r="I248" i="2" s="1"/>
  <c r="E249" i="2"/>
  <c r="I249" i="2" s="1"/>
  <c r="E250" i="2"/>
  <c r="I250" i="2" s="1"/>
  <c r="E251" i="2"/>
  <c r="I251" i="2" s="1"/>
  <c r="E252" i="2"/>
  <c r="I252" i="2" s="1"/>
  <c r="E253" i="2"/>
  <c r="I253" i="2" s="1"/>
  <c r="E254" i="2"/>
  <c r="I254" i="2" s="1"/>
  <c r="E255" i="2"/>
  <c r="I255" i="2" s="1"/>
  <c r="E256" i="2"/>
  <c r="I256" i="2" s="1"/>
  <c r="E257" i="2"/>
  <c r="E258" i="2"/>
  <c r="I258" i="2" s="1"/>
  <c r="E259" i="2"/>
  <c r="I259" i="2" s="1"/>
  <c r="E260" i="2"/>
  <c r="I260" i="2" s="1"/>
  <c r="E261" i="2"/>
  <c r="I261" i="2" s="1"/>
  <c r="E262" i="2"/>
  <c r="I262" i="2" s="1"/>
  <c r="E263" i="2"/>
  <c r="I263" i="2" s="1"/>
  <c r="E264" i="2"/>
  <c r="I264" i="2" s="1"/>
  <c r="E265" i="2"/>
  <c r="I265" i="2" s="1"/>
  <c r="E266" i="2"/>
  <c r="I266" i="2" s="1"/>
  <c r="E267" i="2"/>
  <c r="I267" i="2" s="1"/>
  <c r="E268" i="2"/>
  <c r="I268" i="2" s="1"/>
  <c r="E269" i="2"/>
  <c r="I269" i="2" s="1"/>
  <c r="E270" i="2"/>
  <c r="I270" i="2" s="1"/>
  <c r="E271" i="2"/>
  <c r="I271" i="2" s="1"/>
  <c r="E272" i="2"/>
  <c r="I272" i="2" s="1"/>
  <c r="E273" i="2"/>
  <c r="E274" i="2"/>
  <c r="I274" i="2" s="1"/>
  <c r="E275" i="2"/>
  <c r="I275" i="2" s="1"/>
  <c r="E276" i="2"/>
  <c r="I276" i="2" s="1"/>
  <c r="E277" i="2"/>
  <c r="I277" i="2" s="1"/>
  <c r="E278" i="2"/>
  <c r="I278" i="2" s="1"/>
  <c r="E279" i="2"/>
  <c r="I279" i="2" s="1"/>
  <c r="E280" i="2"/>
  <c r="I280" i="2" s="1"/>
  <c r="E281" i="2"/>
  <c r="I281" i="2" s="1"/>
  <c r="E282" i="2"/>
  <c r="I282" i="2" s="1"/>
  <c r="E283" i="2"/>
  <c r="I283" i="2" s="1"/>
  <c r="E284" i="2"/>
  <c r="I284" i="2" s="1"/>
  <c r="E285" i="2"/>
  <c r="I285" i="2" s="1"/>
  <c r="E286" i="2"/>
  <c r="I286" i="2" s="1"/>
  <c r="E287" i="2"/>
  <c r="I287" i="2" s="1"/>
  <c r="E288" i="2"/>
  <c r="I288" i="2" s="1"/>
  <c r="E289" i="2"/>
  <c r="E290" i="2"/>
  <c r="I290" i="2" s="1"/>
  <c r="E291" i="2"/>
  <c r="I291" i="2" s="1"/>
  <c r="E292" i="2"/>
  <c r="I292" i="2" s="1"/>
  <c r="E293" i="2"/>
  <c r="I293" i="2" s="1"/>
  <c r="E294" i="2"/>
  <c r="I294" i="2" s="1"/>
  <c r="E295" i="2"/>
  <c r="I295" i="2" s="1"/>
  <c r="E296" i="2"/>
  <c r="I296" i="2" s="1"/>
  <c r="E297" i="2"/>
  <c r="I297" i="2" s="1"/>
  <c r="E298" i="2"/>
  <c r="I298" i="2" s="1"/>
  <c r="E299" i="2"/>
  <c r="I299" i="2" s="1"/>
  <c r="E300" i="2"/>
  <c r="I300" i="2" s="1"/>
  <c r="E301" i="2"/>
  <c r="I301" i="2" s="1"/>
  <c r="E302" i="2"/>
  <c r="I302" i="2" s="1"/>
  <c r="E303" i="2"/>
  <c r="I303" i="2" s="1"/>
  <c r="E304" i="2"/>
  <c r="I304" i="2" s="1"/>
  <c r="E305" i="2"/>
  <c r="E306" i="2"/>
  <c r="I306" i="2" s="1"/>
  <c r="E307" i="2"/>
  <c r="I307" i="2" s="1"/>
  <c r="E308" i="2"/>
  <c r="I308" i="2" s="1"/>
  <c r="E309" i="2"/>
  <c r="I309" i="2" s="1"/>
  <c r="E310" i="2"/>
  <c r="I310" i="2" s="1"/>
  <c r="E311" i="2"/>
  <c r="I311" i="2" s="1"/>
  <c r="E312" i="2"/>
  <c r="I312" i="2" s="1"/>
  <c r="E313" i="2"/>
  <c r="I313" i="2" s="1"/>
  <c r="E314" i="2"/>
  <c r="I314" i="2" s="1"/>
  <c r="E315" i="2"/>
  <c r="I315" i="2" s="1"/>
  <c r="E316" i="2"/>
  <c r="I316" i="2" s="1"/>
  <c r="E317" i="2"/>
  <c r="I317" i="2" s="1"/>
  <c r="E318" i="2"/>
  <c r="I318" i="2" s="1"/>
  <c r="E319" i="2"/>
  <c r="I319" i="2" s="1"/>
  <c r="E320" i="2"/>
  <c r="I320" i="2" s="1"/>
  <c r="E321" i="2"/>
  <c r="E322" i="2"/>
  <c r="I322" i="2" s="1"/>
  <c r="E323" i="2"/>
  <c r="I323" i="2" s="1"/>
  <c r="E324" i="2"/>
  <c r="I324" i="2" s="1"/>
  <c r="E325" i="2"/>
  <c r="I325" i="2" s="1"/>
  <c r="E326" i="2"/>
  <c r="I326" i="2" s="1"/>
  <c r="E327" i="2"/>
  <c r="I327" i="2" s="1"/>
  <c r="E328" i="2"/>
  <c r="I328" i="2" s="1"/>
  <c r="E329" i="2"/>
  <c r="I329" i="2" s="1"/>
  <c r="E330" i="2"/>
  <c r="I330" i="2" s="1"/>
  <c r="E331" i="2"/>
  <c r="I331" i="2" s="1"/>
  <c r="E332" i="2"/>
  <c r="I332" i="2" s="1"/>
  <c r="E333" i="2"/>
  <c r="I333" i="2" s="1"/>
  <c r="E334" i="2"/>
  <c r="I334" i="2" s="1"/>
  <c r="E335" i="2"/>
  <c r="I335" i="2" s="1"/>
  <c r="E336" i="2"/>
  <c r="I336" i="2" s="1"/>
  <c r="E337" i="2"/>
  <c r="E338" i="2"/>
  <c r="I338" i="2" s="1"/>
  <c r="E339" i="2"/>
  <c r="I339" i="2" s="1"/>
  <c r="E340" i="2"/>
  <c r="I340" i="2" s="1"/>
  <c r="E341" i="2"/>
  <c r="I341" i="2" s="1"/>
  <c r="E342" i="2"/>
  <c r="I342" i="2" s="1"/>
  <c r="E343" i="2"/>
  <c r="I343" i="2" s="1"/>
  <c r="E344" i="2"/>
  <c r="I344" i="2" s="1"/>
  <c r="E345" i="2"/>
  <c r="I345" i="2" s="1"/>
  <c r="E346" i="2"/>
  <c r="I346" i="2" s="1"/>
  <c r="E347" i="2"/>
  <c r="I347" i="2" s="1"/>
  <c r="E348" i="2"/>
  <c r="I348" i="2" s="1"/>
  <c r="E349" i="2"/>
  <c r="I349" i="2" s="1"/>
  <c r="E350" i="2"/>
  <c r="I350" i="2" s="1"/>
  <c r="E351" i="2"/>
  <c r="I351" i="2" s="1"/>
  <c r="E352" i="2"/>
  <c r="I352" i="2" s="1"/>
  <c r="E353" i="2"/>
  <c r="I353" i="2" s="1"/>
  <c r="E354" i="2"/>
  <c r="I354" i="2" s="1"/>
  <c r="E355" i="2"/>
  <c r="I355" i="2" s="1"/>
  <c r="E356" i="2"/>
  <c r="I356" i="2" s="1"/>
  <c r="E357" i="2"/>
  <c r="E358" i="2"/>
  <c r="I358" i="2" s="1"/>
  <c r="E359" i="2"/>
  <c r="I359" i="2" s="1"/>
  <c r="E360" i="2"/>
  <c r="I360" i="2" s="1"/>
  <c r="E361" i="2"/>
  <c r="I361" i="2" s="1"/>
  <c r="E362" i="2"/>
  <c r="I362" i="2" s="1"/>
  <c r="E363" i="2"/>
  <c r="I363" i="2" s="1"/>
  <c r="E364" i="2"/>
  <c r="I364" i="2" s="1"/>
  <c r="E365" i="2"/>
  <c r="I365" i="2" s="1"/>
  <c r="E366" i="2"/>
  <c r="I366" i="2" s="1"/>
  <c r="E367" i="2"/>
  <c r="I367" i="2" s="1"/>
  <c r="E368" i="2"/>
  <c r="I368" i="2" s="1"/>
  <c r="E369" i="2"/>
  <c r="I369" i="2" s="1"/>
  <c r="E370" i="2"/>
  <c r="I370" i="2" s="1"/>
  <c r="E371" i="2"/>
  <c r="I371" i="2" s="1"/>
  <c r="E372" i="2"/>
  <c r="I372" i="2" s="1"/>
  <c r="E373" i="2"/>
  <c r="I373" i="2" s="1"/>
  <c r="E374" i="2"/>
  <c r="I374" i="2" s="1"/>
  <c r="E375" i="2"/>
  <c r="I375" i="2" s="1"/>
  <c r="E376" i="2"/>
  <c r="I376" i="2" s="1"/>
  <c r="E377" i="2"/>
  <c r="E378" i="2"/>
  <c r="I378" i="2" s="1"/>
  <c r="E379" i="2"/>
  <c r="I379" i="2" s="1"/>
  <c r="E380" i="2"/>
  <c r="I380" i="2" s="1"/>
  <c r="E381" i="2"/>
  <c r="I381" i="2" s="1"/>
  <c r="E382" i="2"/>
  <c r="I382" i="2" s="1"/>
  <c r="E383" i="2"/>
  <c r="I383" i="2" s="1"/>
  <c r="E384" i="2"/>
  <c r="I384" i="2" s="1"/>
  <c r="E385" i="2"/>
  <c r="I385" i="2" s="1"/>
  <c r="E386" i="2"/>
  <c r="I386" i="2" s="1"/>
  <c r="E387" i="2"/>
  <c r="I387" i="2" s="1"/>
  <c r="E388" i="2"/>
  <c r="I388" i="2" s="1"/>
  <c r="E389" i="2"/>
  <c r="I389" i="2" s="1"/>
  <c r="E390" i="2"/>
  <c r="I390" i="2" s="1"/>
  <c r="E391" i="2"/>
  <c r="I391" i="2" s="1"/>
  <c r="E392" i="2"/>
  <c r="I392" i="2" s="1"/>
  <c r="E393" i="2"/>
  <c r="I393" i="2" s="1"/>
  <c r="E394" i="2"/>
  <c r="I394" i="2" s="1"/>
  <c r="E395" i="2"/>
  <c r="I395" i="2" s="1"/>
  <c r="E396" i="2"/>
  <c r="I396" i="2" s="1"/>
  <c r="E397" i="2"/>
  <c r="I397" i="2" s="1"/>
  <c r="E398" i="2"/>
  <c r="I398" i="2" s="1"/>
  <c r="E399" i="2"/>
  <c r="E400" i="2"/>
  <c r="I400" i="2" s="1"/>
  <c r="E401" i="2"/>
  <c r="I401" i="2" s="1"/>
  <c r="E402" i="2"/>
  <c r="I402" i="2" s="1"/>
  <c r="E403" i="2"/>
  <c r="I403" i="2" s="1"/>
  <c r="E404" i="2"/>
  <c r="I404" i="2" s="1"/>
  <c r="E405" i="2"/>
  <c r="I405" i="2" s="1"/>
  <c r="E406" i="2"/>
  <c r="I406" i="2" s="1"/>
  <c r="E407" i="2"/>
  <c r="I407" i="2" s="1"/>
  <c r="E408" i="2"/>
  <c r="I408" i="2" s="1"/>
  <c r="E409" i="2"/>
  <c r="I409" i="2" s="1"/>
  <c r="E410" i="2"/>
  <c r="I410" i="2" s="1"/>
  <c r="E411" i="2"/>
  <c r="I411" i="2" s="1"/>
  <c r="E412" i="2"/>
  <c r="I412" i="2" s="1"/>
  <c r="E413" i="2"/>
  <c r="I413" i="2" s="1"/>
  <c r="E414" i="2"/>
  <c r="I414" i="2" s="1"/>
  <c r="E415" i="2"/>
  <c r="I415" i="2" s="1"/>
  <c r="E416" i="2"/>
  <c r="I416" i="2" s="1"/>
  <c r="E417" i="2"/>
  <c r="I417" i="2" s="1"/>
  <c r="E418" i="2"/>
  <c r="I418" i="2" s="1"/>
  <c r="E419" i="2"/>
  <c r="I419" i="2" s="1"/>
  <c r="E420" i="2"/>
  <c r="I420" i="2" s="1"/>
  <c r="E421" i="2"/>
  <c r="E422" i="2"/>
  <c r="I422" i="2" s="1"/>
  <c r="E423" i="2"/>
  <c r="I423" i="2" s="1"/>
  <c r="E424" i="2"/>
  <c r="I424" i="2" s="1"/>
  <c r="E425" i="2"/>
  <c r="I425" i="2" s="1"/>
  <c r="E426" i="2"/>
  <c r="I426" i="2" s="1"/>
  <c r="E427" i="2"/>
  <c r="I427" i="2" s="1"/>
  <c r="E428" i="2"/>
  <c r="I428" i="2" s="1"/>
  <c r="E429" i="2"/>
  <c r="I429" i="2" s="1"/>
  <c r="E430" i="2"/>
  <c r="I430" i="2" s="1"/>
  <c r="E431" i="2"/>
  <c r="I431" i="2" s="1"/>
  <c r="E432" i="2"/>
  <c r="I432" i="2" s="1"/>
  <c r="E433" i="2"/>
  <c r="I433" i="2" s="1"/>
  <c r="E434" i="2"/>
  <c r="I434" i="2" s="1"/>
  <c r="E435" i="2"/>
  <c r="I435" i="2" s="1"/>
  <c r="E436" i="2"/>
  <c r="I436" i="2" s="1"/>
  <c r="E437" i="2"/>
  <c r="I437" i="2" s="1"/>
  <c r="E438" i="2"/>
  <c r="I438" i="2" s="1"/>
  <c r="E439" i="2"/>
  <c r="I439" i="2" s="1"/>
  <c r="E440" i="2"/>
  <c r="I440" i="2" s="1"/>
  <c r="E441" i="2"/>
  <c r="E442" i="2"/>
  <c r="I442" i="2" s="1"/>
  <c r="E443" i="2"/>
  <c r="I443" i="2" s="1"/>
  <c r="E444" i="2"/>
  <c r="I444" i="2" s="1"/>
  <c r="E445" i="2"/>
  <c r="I445" i="2" s="1"/>
  <c r="E446" i="2"/>
  <c r="I446" i="2" s="1"/>
  <c r="E447" i="2"/>
  <c r="I447" i="2" s="1"/>
  <c r="E448" i="2"/>
  <c r="I448" i="2" s="1"/>
  <c r="E449" i="2"/>
  <c r="I449" i="2" s="1"/>
  <c r="E450" i="2"/>
  <c r="I450" i="2" s="1"/>
  <c r="E451" i="2"/>
  <c r="I451" i="2" s="1"/>
  <c r="E452" i="2"/>
  <c r="I452" i="2" s="1"/>
  <c r="E453" i="2"/>
  <c r="I453" i="2" s="1"/>
  <c r="E454" i="2"/>
  <c r="I454" i="2" s="1"/>
  <c r="E455" i="2"/>
  <c r="I455" i="2" s="1"/>
  <c r="E456" i="2"/>
  <c r="I456" i="2" s="1"/>
  <c r="E457" i="2"/>
  <c r="I457" i="2" s="1"/>
  <c r="E458" i="2"/>
  <c r="I458" i="2" s="1"/>
  <c r="E459" i="2"/>
  <c r="I459" i="2" s="1"/>
  <c r="E460" i="2"/>
  <c r="I460" i="2" s="1"/>
  <c r="E461" i="2"/>
  <c r="I461" i="2" s="1"/>
  <c r="E462" i="2"/>
  <c r="I462" i="2" s="1"/>
  <c r="E463" i="2"/>
  <c r="E464" i="2"/>
  <c r="I464" i="2" s="1"/>
  <c r="E465" i="2"/>
  <c r="I465" i="2" s="1"/>
  <c r="E466" i="2"/>
  <c r="I466" i="2" s="1"/>
  <c r="E467" i="2"/>
  <c r="I467" i="2" s="1"/>
  <c r="E468" i="2"/>
  <c r="I468" i="2" s="1"/>
  <c r="E469" i="2"/>
  <c r="I469" i="2" s="1"/>
  <c r="E470" i="2"/>
  <c r="I470" i="2" s="1"/>
  <c r="E471" i="2"/>
  <c r="I471" i="2" s="1"/>
  <c r="E472" i="2"/>
  <c r="I472" i="2" s="1"/>
  <c r="E473" i="2"/>
  <c r="I473" i="2" s="1"/>
  <c r="E474" i="2"/>
  <c r="I474" i="2" s="1"/>
  <c r="E475" i="2"/>
  <c r="I475" i="2" s="1"/>
  <c r="E476" i="2"/>
  <c r="I476" i="2" s="1"/>
  <c r="E477" i="2"/>
  <c r="I477" i="2" s="1"/>
  <c r="E478" i="2"/>
  <c r="I478" i="2" s="1"/>
  <c r="E479" i="2"/>
  <c r="I479" i="2" s="1"/>
  <c r="E480" i="2"/>
  <c r="I480" i="2" s="1"/>
  <c r="E481" i="2"/>
  <c r="I481" i="2" s="1"/>
  <c r="E482" i="2"/>
  <c r="I482" i="2" s="1"/>
  <c r="E483" i="2"/>
  <c r="I483" i="2" s="1"/>
  <c r="E484" i="2"/>
  <c r="I484" i="2" s="1"/>
  <c r="E485" i="2"/>
  <c r="E486" i="2"/>
  <c r="I486" i="2" s="1"/>
  <c r="E487" i="2"/>
  <c r="I487" i="2" s="1"/>
  <c r="E488" i="2"/>
  <c r="I488" i="2" s="1"/>
  <c r="E489" i="2"/>
  <c r="I489" i="2" s="1"/>
  <c r="E490" i="2"/>
  <c r="I490" i="2" s="1"/>
  <c r="E491" i="2"/>
  <c r="I491" i="2" s="1"/>
  <c r="E492" i="2"/>
  <c r="I492" i="2" s="1"/>
  <c r="E493" i="2"/>
  <c r="I493" i="2" s="1"/>
  <c r="E494" i="2"/>
  <c r="I494" i="2" s="1"/>
  <c r="E495" i="2"/>
  <c r="I495" i="2" s="1"/>
  <c r="E496" i="2"/>
  <c r="I496" i="2" s="1"/>
  <c r="E497" i="2"/>
  <c r="I497" i="2" s="1"/>
  <c r="E498" i="2"/>
  <c r="I498" i="2" s="1"/>
  <c r="E499" i="2"/>
  <c r="I499" i="2" s="1"/>
  <c r="E500" i="2"/>
  <c r="I500" i="2"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2" i="2"/>
  <c r="AB23" i="2"/>
  <c r="AB19" i="2"/>
  <c r="AB18" i="2"/>
  <c r="AB22" i="2"/>
  <c r="AB21" i="2"/>
  <c r="AB20" i="2"/>
</calcChain>
</file>

<file path=xl/sharedStrings.xml><?xml version="1.0" encoding="utf-8"?>
<sst xmlns="http://schemas.openxmlformats.org/spreadsheetml/2006/main" count="5358" uniqueCount="1565">
  <si>
    <t>5SuOikwiRyPMVoIQDJUgSV</t>
  </si>
  <si>
    <t>Gen Hoshino</t>
  </si>
  <si>
    <t>Comedy</t>
  </si>
  <si>
    <t>1.01e-06</t>
  </si>
  <si>
    <t>acoustic</t>
  </si>
  <si>
    <t>4qPNDBW1i3p13qLCt0Ki3A</t>
  </si>
  <si>
    <t>Ben Woodward</t>
  </si>
  <si>
    <t>Ghost (Acoustic)</t>
  </si>
  <si>
    <t>Ghost - Acoustic</t>
  </si>
  <si>
    <t>5.56e-06</t>
  </si>
  <si>
    <t>1iJBSr7s7jYXzM8EGcbK5b</t>
  </si>
  <si>
    <t>Ingrid Michaelson;ZAYN</t>
  </si>
  <si>
    <t>To Begin Again</t>
  </si>
  <si>
    <t>6lfxq3CG4xtTiEg7opyCyx</t>
  </si>
  <si>
    <t>Kina Grannis</t>
  </si>
  <si>
    <t>Crazy Rich Asians (Original Motion Picture Soundtrack)</t>
  </si>
  <si>
    <t>Can't Help Falling In Love</t>
  </si>
  <si>
    <t>7.07e-05</t>
  </si>
  <si>
    <t>5vjLSffimiIP26QG5WcN2K</t>
  </si>
  <si>
    <t>Chord Overstreet</t>
  </si>
  <si>
    <t>Hold On</t>
  </si>
  <si>
    <t>01MVOl9KtVTNfFiBU9I7dc</t>
  </si>
  <si>
    <t>Tyrone Wells</t>
  </si>
  <si>
    <t>Days I Will Remember</t>
  </si>
  <si>
    <t>6Vc5wAMmXdKIAM7WUoEb7N</t>
  </si>
  <si>
    <t>A Great Big World;Christina Aguilera</t>
  </si>
  <si>
    <t>Is There Anybody Out There?</t>
  </si>
  <si>
    <t>Say Something</t>
  </si>
  <si>
    <t>2.89e-06</t>
  </si>
  <si>
    <t>1EzrEOXmMH3G43AXT1y7pA</t>
  </si>
  <si>
    <t>Jason Mraz</t>
  </si>
  <si>
    <t>We Sing. We Dance. We Steal Things.</t>
  </si>
  <si>
    <t>I'm Yours</t>
  </si>
  <si>
    <t>0IktbUcnAGrvD03AWnz3Q8</t>
  </si>
  <si>
    <t>Jason Mraz;Colbie Caillat</t>
  </si>
  <si>
    <t>Lucky</t>
  </si>
  <si>
    <t>7k9GuJYLp2AzqokyEdwEw2</t>
  </si>
  <si>
    <t>Ross Copperman</t>
  </si>
  <si>
    <t>Hunger</t>
  </si>
  <si>
    <t>4mzP5mHkRvGxdhdGdAH7EJ</t>
  </si>
  <si>
    <t>Zack Tabudlo</t>
  </si>
  <si>
    <t>Episode</t>
  </si>
  <si>
    <t>Give Me Your Forever</t>
  </si>
  <si>
    <t>5ivF4eQBqJiVL5IAE9jRyl</t>
  </si>
  <si>
    <t>Love Is a Four Letter Word</t>
  </si>
  <si>
    <t>I Won't Give Up</t>
  </si>
  <si>
    <t>4ptDJbJl35d7gQfeNteBwp</t>
  </si>
  <si>
    <t>Dan Berk</t>
  </si>
  <si>
    <t>Solo</t>
  </si>
  <si>
    <t>0X9MxHR1rTkEHDjp95F2OO</t>
  </si>
  <si>
    <t>Anna Hamilton</t>
  </si>
  <si>
    <t>Bad Liar</t>
  </si>
  <si>
    <t>4LbWtBkN82ZRhz9jqzgrb3</t>
  </si>
  <si>
    <t>Chord Overstreet;Deepend</t>
  </si>
  <si>
    <t>Hold On (Remix)</t>
  </si>
  <si>
    <t>Hold On - Remix</t>
  </si>
  <si>
    <t>2.83e-05</t>
  </si>
  <si>
    <t>1KHdq8NK9QxnGjdXb55NiG</t>
  </si>
  <si>
    <t>Landon Pigg</t>
  </si>
  <si>
    <t>The Boy Who Never</t>
  </si>
  <si>
    <t>Falling in Love at a Coffee Shop</t>
  </si>
  <si>
    <t>4.56e-05</t>
  </si>
  <si>
    <t>6xKeQgzfjixSUld14qUezm</t>
  </si>
  <si>
    <t>Andrew Foy;Renee Foy</t>
  </si>
  <si>
    <t>ily (i love you baby)</t>
  </si>
  <si>
    <t>4.03e-06</t>
  </si>
  <si>
    <t>4Yo0igmcoNyat1secaH0OD</t>
  </si>
  <si>
    <t>At My Worst</t>
  </si>
  <si>
    <t>1.17e-05</t>
  </si>
  <si>
    <t>2qLMf6TuEC3ruGJg4SMMN6</t>
  </si>
  <si>
    <t>6CgNoAbFJ4Q4Id4EjtbXlC</t>
  </si>
  <si>
    <t>Boyce Avenue;Bea Miller</t>
  </si>
  <si>
    <t>Cover Sessions, Vol. 4</t>
  </si>
  <si>
    <t>Photograph</t>
  </si>
  <si>
    <t>3S0OXQeoh0w6AY8WQVckRW</t>
  </si>
  <si>
    <t>210JCw2LbYD4YIs8GiZ9iP</t>
  </si>
  <si>
    <t>Boyce Avenue;Jennel Garcia</t>
  </si>
  <si>
    <t>Cover Sessions, Vol. 3</t>
  </si>
  <si>
    <t>Demons</t>
  </si>
  <si>
    <t>5TvE3pk05pyFIGdSY9j4DJ</t>
  </si>
  <si>
    <t>Is There Anybody Out There? - Track by Track Commentary</t>
  </si>
  <si>
    <t>0BUuuEvNa5T4lMaewyiudB</t>
  </si>
  <si>
    <t>Coffee Moment</t>
  </si>
  <si>
    <t>93 Million Miles</t>
  </si>
  <si>
    <t>1.37e-05</t>
  </si>
  <si>
    <t>3Hn3LfhrQOaKihdCibJsTs</t>
  </si>
  <si>
    <t>Human - Best Adult Pop Tunes</t>
  </si>
  <si>
    <t>Unlonely</t>
  </si>
  <si>
    <t>6D33wCKzWtNEgOovgeVJ7r</t>
  </si>
  <si>
    <t>Mellow Adult Pop</t>
  </si>
  <si>
    <t>Bella Luna</t>
  </si>
  <si>
    <t>5IfCZDRXZrqZSm8AwE44PG</t>
  </si>
  <si>
    <t>Holly Jolly Christmas</t>
  </si>
  <si>
    <t>Winter Wonderland</t>
  </si>
  <si>
    <t>0dzKBptH2P5j5a0MifBMwM</t>
  </si>
  <si>
    <t>Feeling Good - Adult Pop Favorites</t>
  </si>
  <si>
    <t>If It Kills Me</t>
  </si>
  <si>
    <t>5QAMZTM5cmLg3fHX9ZbTZi</t>
  </si>
  <si>
    <t>Christmas Time</t>
  </si>
  <si>
    <t>2qESE1ZeWly7I3YjyTXmXh</t>
  </si>
  <si>
    <t>Perfect Christmas Hits</t>
  </si>
  <si>
    <t>3EQV1ZHtHvq9OnVRYIdbg3</t>
  </si>
  <si>
    <t>Merry Christmas</t>
  </si>
  <si>
    <t>3ax0rfGb7exLtl02LL08U9</t>
  </si>
  <si>
    <t>Christmas Music - Holiday Hits</t>
  </si>
  <si>
    <t>1m5LC29RE52Bxy7hxvpOlL</t>
  </si>
  <si>
    <t>Christmas Country Songs 2022</t>
  </si>
  <si>
    <t>All I Want For Christmas Is A Real Good Tan</t>
  </si>
  <si>
    <t>3H36x7buZdQD4687VmFrwY</t>
  </si>
  <si>
    <t>Brandi Carlile;Sam Smith</t>
  </si>
  <si>
    <t>Party of One</t>
  </si>
  <si>
    <t>0xbMRcMFqxJq1Wa7tvWPtn</t>
  </si>
  <si>
    <t>6h061f44HZPj1OXO2nA45d</t>
  </si>
  <si>
    <t>Mellow Bars R'n'B</t>
  </si>
  <si>
    <t>62EwQLDw0dprDzuLwQ0sH1</t>
  </si>
  <si>
    <t>KT Tunstall</t>
  </si>
  <si>
    <t>Chill Christmas Dinner</t>
  </si>
  <si>
    <t>Lonely This Christmas</t>
  </si>
  <si>
    <t>2.56e-05</t>
  </si>
  <si>
    <t>3lvo0I8c2qBJDLZWqExDgC</t>
  </si>
  <si>
    <t>Brandi Carlile</t>
  </si>
  <si>
    <t>rainy day indie</t>
  </si>
  <si>
    <t>Throwing Good After Bad</t>
  </si>
  <si>
    <t>1.58e-05</t>
  </si>
  <si>
    <t>1ae8XfBQ3fDEvmBjFaemGV</t>
  </si>
  <si>
    <t>This Time Tomorrow</t>
  </si>
  <si>
    <t>0adVktNVJXPZfhQe6B1NO5</t>
  </si>
  <si>
    <t>sadsadchristmas</t>
  </si>
  <si>
    <t>6sp6Vx3sv2l5qxPfbQkcyt</t>
  </si>
  <si>
    <t>Eddie Vedder</t>
  </si>
  <si>
    <t>Mega Hits Autumn/Fall 2022</t>
  </si>
  <si>
    <t>The Haves</t>
  </si>
  <si>
    <t>1WFVfVjCtbmdIv7j3Fa9iy</t>
  </si>
  <si>
    <t>When You're Wrong</t>
  </si>
  <si>
    <t>3.37e-06</t>
  </si>
  <si>
    <t>0e5PAxSyZ5DWWVqKANHETz</t>
  </si>
  <si>
    <t>Brandi Carlile;Lucius</t>
  </si>
  <si>
    <t>Country Car Hits</t>
  </si>
  <si>
    <t>You and Me on the Rock</t>
  </si>
  <si>
    <t>1.81e-06</t>
  </si>
  <si>
    <t>1MLr9b1fOybO3MGiLy47Ys</t>
  </si>
  <si>
    <t>Country Road Songs</t>
  </si>
  <si>
    <t>6JGjevTaqr9J1xp7YvYUKF</t>
  </si>
  <si>
    <t>Finest Country</t>
  </si>
  <si>
    <t>Speak Your Mind (From the Netflix Series "We The People")</t>
  </si>
  <si>
    <t>7Af2YlwMZryKOQiRfwMsD2</t>
  </si>
  <si>
    <t>Easy Country</t>
  </si>
  <si>
    <t>3RE5nHIVkC4KcA7snFaTKd</t>
  </si>
  <si>
    <t>Cozy Country</t>
  </si>
  <si>
    <t>0JvkNRyq8Tmot9khpdtN0I</t>
  </si>
  <si>
    <t>Good Times Country</t>
  </si>
  <si>
    <t>27gHtbsHClwimHFtKgFop4</t>
  </si>
  <si>
    <t>Laidback Country</t>
  </si>
  <si>
    <t>1QBNBGeIRRGBnLhdlHbfI8</t>
  </si>
  <si>
    <t>Chillin' It - Mellow Day Country</t>
  </si>
  <si>
    <t>72xTsTouZ5nBmASX8k1XCW</t>
  </si>
  <si>
    <t>Highland Peak</t>
  </si>
  <si>
    <t>Trampoline (Acoustic)</t>
  </si>
  <si>
    <t>Trampoline - Acoustic</t>
  </si>
  <si>
    <t>3ILmwMefYZoQh5Cf5jeuUQ</t>
  </si>
  <si>
    <t>Motohiro Hata</t>
  </si>
  <si>
    <t>Documentary</t>
  </si>
  <si>
    <t>é€æ˜Žã ã£ãŸä¸–ç•Œ</t>
  </si>
  <si>
    <t>2DHDuADAHoUW6n0z80RLQF</t>
  </si>
  <si>
    <t>Andrew Belle</t>
  </si>
  <si>
    <t>Black Bear</t>
  </si>
  <si>
    <t>Pieces</t>
  </si>
  <si>
    <t>5JDcQAztvZTIkrWoZihgvC</t>
  </si>
  <si>
    <t>Ron Pope</t>
  </si>
  <si>
    <t>The Bedroom Demos</t>
  </si>
  <si>
    <t>A Drop in the Ocean</t>
  </si>
  <si>
    <t>2sYFi9xVSZ56WHKSY2fN1K</t>
  </si>
  <si>
    <t>Adam Christopher</t>
  </si>
  <si>
    <t>So Far Away (Acoustic)</t>
  </si>
  <si>
    <t>So Far Away - Acoustic</t>
  </si>
  <si>
    <t>3.44e-05</t>
  </si>
  <si>
    <t>6xJOhSm4SvZwzy3uhWz26O</t>
  </si>
  <si>
    <t>The Enemy</t>
  </si>
  <si>
    <t>7lLKxcNeJtDTWVRKHovLEC</t>
  </si>
  <si>
    <t>Aron Wright</t>
  </si>
  <si>
    <t>Build It Better</t>
  </si>
  <si>
    <t>25UzeaV47eDT44Fovve6xQ</t>
  </si>
  <si>
    <t>Sleepwalking in the Rain</t>
  </si>
  <si>
    <t>4oa14QBfWRDfJy2agySy0L</t>
  </si>
  <si>
    <t>Sara Bareilles</t>
  </si>
  <si>
    <t>Little Voice</t>
  </si>
  <si>
    <t>Gravity</t>
  </si>
  <si>
    <t>2gRKq9rIC5i1zuxp06zJWH</t>
  </si>
  <si>
    <t>What's Left of You</t>
  </si>
  <si>
    <t>08MFgEQeVLF37EyZ7jcwLc</t>
  </si>
  <si>
    <t>Pano</t>
  </si>
  <si>
    <t>6nXIYClvJAfi6ujLiKqEq8</t>
  </si>
  <si>
    <t>The Daylight EP</t>
  </si>
  <si>
    <t>Sky's Still Blue</t>
  </si>
  <si>
    <t>7x4b0UccXSKBWxWmjcrG2T</t>
  </si>
  <si>
    <t>Kurt Cobain</t>
  </si>
  <si>
    <t>Montage Of Heck: The Home Recordings</t>
  </si>
  <si>
    <t>And I Love Her</t>
  </si>
  <si>
    <t>6owKuyHxUqidcAA6fPKSyy</t>
  </si>
  <si>
    <t>We Can't Stop</t>
  </si>
  <si>
    <t>0wbmIfvndFV9VDvuUY1pYN</t>
  </si>
  <si>
    <t>Tim Halperin</t>
  </si>
  <si>
    <t>Covers</t>
  </si>
  <si>
    <t>Always Be My Baby</t>
  </si>
  <si>
    <t>3e5yu9MkIvQx17mm7LF6KY</t>
  </si>
  <si>
    <t>Canyon City</t>
  </si>
  <si>
    <t>Midnight Waves</t>
  </si>
  <si>
    <t>Alone with You</t>
  </si>
  <si>
    <t>6.63e-06</t>
  </si>
  <si>
    <t>6VwAh8Z1d5YKoSWoEaV4db</t>
  </si>
  <si>
    <t>Aaron Espe</t>
  </si>
  <si>
    <t>Making All Things New</t>
  </si>
  <si>
    <t>2D4BSm5Z8Hq5zYbSgJwEOh</t>
  </si>
  <si>
    <t>What's Inside: Songs from Waitress</t>
  </si>
  <si>
    <t>She Used To Be Mine</t>
  </si>
  <si>
    <t>7LwGBxB0h0CVmkOZxYKn0g</t>
  </si>
  <si>
    <t>In My Veins (Feat. Erin Mccarley)</t>
  </si>
  <si>
    <t>In My Veins - Feat. Erin Mccarley</t>
  </si>
  <si>
    <t>4.46e-06</t>
  </si>
  <si>
    <t>0ZwdH0m32I8odedwvspYTh</t>
  </si>
  <si>
    <t>Tyler Ward</t>
  </si>
  <si>
    <t>Under Covers</t>
  </si>
  <si>
    <t>I Don't Wanna Live Forever (Fifty Shades Darker)</t>
  </si>
  <si>
    <t>16dkWKIlBsfYTISCVuDs0w</t>
  </si>
  <si>
    <t>Whatever It Takes</t>
  </si>
  <si>
    <t>A Drop In the Ocean</t>
  </si>
  <si>
    <t>1.14e-06</t>
  </si>
  <si>
    <t>3TwtrR1yNLY1PMPsrGQpOp</t>
  </si>
  <si>
    <t>Five For Fighting</t>
  </si>
  <si>
    <t>America Town</t>
  </si>
  <si>
    <t>Superman (It's Not Easy)</t>
  </si>
  <si>
    <t>3Et4LKZLnXygPYfNdeB3D3</t>
  </si>
  <si>
    <t>Dive Deep</t>
  </si>
  <si>
    <t>When the End Comes</t>
  </si>
  <si>
    <t>2E9viCx0hJKNKNThd2MdGQ</t>
  </si>
  <si>
    <t>Bailey Jehl</t>
  </si>
  <si>
    <t>You're Still The One</t>
  </si>
  <si>
    <t>0Zf1BPkkFAWGtVHeBwHHz4</t>
  </si>
  <si>
    <t>Ingrid Michaelson</t>
  </si>
  <si>
    <t>It Doesn't Have To Make Sense</t>
  </si>
  <si>
    <t>Light Me Up</t>
  </si>
  <si>
    <t>38jy6kRlPt8z1GUS9WXeNh</t>
  </si>
  <si>
    <t>2SkJKMfjpYsNv0KWOxiegX</t>
  </si>
  <si>
    <t>A Great Big World</t>
  </si>
  <si>
    <t>When the Morning Comes</t>
  </si>
  <si>
    <t>Kaleidoscope</t>
  </si>
  <si>
    <t>4qCbMMMuEB56kHd4zPE6GD</t>
  </si>
  <si>
    <t>Eddie Vedder;Nusrat Fateh Ali Khan</t>
  </si>
  <si>
    <t>Eat, Pray, Love</t>
  </si>
  <si>
    <t>The Long Road</t>
  </si>
  <si>
    <t>11TK5KLtLZUdKr1C549bAw</t>
  </si>
  <si>
    <t>Drew Holcomb &amp; The Neighbors</t>
  </si>
  <si>
    <t>Good Light</t>
  </si>
  <si>
    <t>What Would I Do Without You</t>
  </si>
  <si>
    <t>7BXW1QCg56yzEBV8pW8pah</t>
  </si>
  <si>
    <t>Know.</t>
  </si>
  <si>
    <t>Have It All</t>
  </si>
  <si>
    <t>2kMrCPZ0o5gErBPLCRgoli</t>
  </si>
  <si>
    <t>Gabrielle Aplin</t>
  </si>
  <si>
    <t>Heavy Heart</t>
  </si>
  <si>
    <t>5IjTZ1g8KrIuV97N3OQZ0V</t>
  </si>
  <si>
    <t>Break Up Songs</t>
  </si>
  <si>
    <t>The House We Never Built</t>
  </si>
  <si>
    <t>2.72e-06</t>
  </si>
  <si>
    <t>3bHhUEOTIbezeZ856R0BX5</t>
  </si>
  <si>
    <t>Into The Wild (Music For The Motion Picture)</t>
  </si>
  <si>
    <t>Society</t>
  </si>
  <si>
    <t>0wf17wsLRwnnfh241GkeH5</t>
  </si>
  <si>
    <t>u don't deserve me</t>
  </si>
  <si>
    <t>Please Don't Say You Love Me</t>
  </si>
  <si>
    <t>3322ArxAq7wCSZI4fF77Q0</t>
  </si>
  <si>
    <t>4LGF2tDg3878bs0mQPByZ4</t>
  </si>
  <si>
    <t>Guaranteed</t>
  </si>
  <si>
    <t>6Uy6K3KdmUdAfelUp0SeXn</t>
  </si>
  <si>
    <t>The Blessed Unrest</t>
  </si>
  <si>
    <t>Brave</t>
  </si>
  <si>
    <t>2.1e-05</t>
  </si>
  <si>
    <t>2z2JKNU24UEngb4joR9p8f</t>
  </si>
  <si>
    <t>Slow Christmas Songs 2022</t>
  </si>
  <si>
    <t>2nef44o0sjJDKB1ta4S0ub</t>
  </si>
  <si>
    <t>Lonely Christmas 2022</t>
  </si>
  <si>
    <t>0qJGlogD7AyMLAJfQ42aI2</t>
  </si>
  <si>
    <t>Bookmarks</t>
  </si>
  <si>
    <t>Heaven Knows</t>
  </si>
  <si>
    <t>04JS6OitE9VGsIS3S94Osg</t>
  </si>
  <si>
    <t>The Civil Wars</t>
  </si>
  <si>
    <t>I Heard The Bells On Christmas Day</t>
  </si>
  <si>
    <t>9.68e-06</t>
  </si>
  <si>
    <t>5OGpsZeJRZ3t3MZioawcZW</t>
  </si>
  <si>
    <t>Alternative Christmas 2022</t>
  </si>
  <si>
    <t>3Vnes7v746dYzBn0FJTZ1W</t>
  </si>
  <si>
    <t>Fairytale Of New York</t>
  </si>
  <si>
    <t>3.46e-06</t>
  </si>
  <si>
    <t>30cYWLpVdBZVLb1cYdmcTT</t>
  </si>
  <si>
    <t>Acoustic Christmas Campfire</t>
  </si>
  <si>
    <t>7sUqJ51FGSi3n7x4pYjY3v</t>
  </si>
  <si>
    <t>15BFn2VmEtonsXfNL1lUmy</t>
  </si>
  <si>
    <t>0WOFJR54wyTwLB11jcBDb1</t>
  </si>
  <si>
    <t>1uDCw6LVMOmbZ6zRliNcNX</t>
  </si>
  <si>
    <t>7DYsBLdOqz0z14tYWMt2Tn</t>
  </si>
  <si>
    <t>Del gusto de mamÃ¡</t>
  </si>
  <si>
    <t>1.04e-06</t>
  </si>
  <si>
    <t>7cPuE0M35EajWPRO3nRcH8</t>
  </si>
  <si>
    <t>OO's Music Grandi Successi</t>
  </si>
  <si>
    <t>Suddenly I See</t>
  </si>
  <si>
    <t>0U32q8CZRRo7xCzyiaZw5f</t>
  </si>
  <si>
    <t>è¨€ãƒŽè‘‰</t>
  </si>
  <si>
    <t>Rain</t>
  </si>
  <si>
    <t>4kQXMVjoZ9yMibLZq5Aqi5</t>
  </si>
  <si>
    <t>Callum J Wright</t>
  </si>
  <si>
    <t>Somebody Else (Acoustic)</t>
  </si>
  <si>
    <t>Somebody Else - Acoustic</t>
  </si>
  <si>
    <t>3us8sod4dLbM9FiMiPiEY8</t>
  </si>
  <si>
    <t>Black Bear (Hushed)</t>
  </si>
  <si>
    <t>Pieces (Hushed)</t>
  </si>
  <si>
    <t>1PR5pyPiOEEQ02oJYq402x</t>
  </si>
  <si>
    <t>Boyce Avenue;Fifth Harmony</t>
  </si>
  <si>
    <t>Mirrors</t>
  </si>
  <si>
    <t>068qo0w1Ki0cjnFYOUhAm2</t>
  </si>
  <si>
    <t>Boyce Avenue</t>
  </si>
  <si>
    <t>Stand by Me</t>
  </si>
  <si>
    <t>1.03e-05</t>
  </si>
  <si>
    <t>2RFt6ZWQbr9mPhsft9u9eX</t>
  </si>
  <si>
    <t>Gabrielle Aplin;JP Cooper</t>
  </si>
  <si>
    <t>Dear Happy</t>
  </si>
  <si>
    <t>Losing Me</t>
  </si>
  <si>
    <t>59pUIlXjQupbiYwt40uUTi</t>
  </si>
  <si>
    <t>Mone Kamishiraishi</t>
  </si>
  <si>
    <t>chouchou</t>
  </si>
  <si>
    <t>ãªã‚“ã§ã‚‚ãªã„ã‚„ - movie ver.</t>
  </si>
  <si>
    <t>1.4e-05</t>
  </si>
  <si>
    <t>0VhZ5JYfqPojSYeGWnk4dL</t>
  </si>
  <si>
    <t>John Adams</t>
  </si>
  <si>
    <t>Youâ€™re Beautiful (Acoustic)</t>
  </si>
  <si>
    <t>Youâ€™re Beautiful - Acoustic</t>
  </si>
  <si>
    <t>0ltIx8PLjtWoS9zn9PqsZW</t>
  </si>
  <si>
    <t>Kitri</t>
  </si>
  <si>
    <t>Hikare Inochi</t>
  </si>
  <si>
    <t>4.66e-06</t>
  </si>
  <si>
    <t>7ACW42whcdOiUxiNVu7ltx</t>
  </si>
  <si>
    <t>Songs From Nashville</t>
  </si>
  <si>
    <t>How To Lose a Girl</t>
  </si>
  <si>
    <t>4qTHoIp62ngNDpUJwW3hZ7</t>
  </si>
  <si>
    <t>Cover Sessions, Vol. 6</t>
  </si>
  <si>
    <t>Canâ€™t Help Falling in Love</t>
  </si>
  <si>
    <t>1.05e-06</t>
  </si>
  <si>
    <t>4VbDTk82rqWqVgoQC93CkC</t>
  </si>
  <si>
    <t>Dive Deep (Hushed)</t>
  </si>
  <si>
    <t>1pG5nd6gmfbMwUfT5shDQe</t>
  </si>
  <si>
    <t>When the Party's over (Acoustic Piano)</t>
  </si>
  <si>
    <t>4.42e-05</t>
  </si>
  <si>
    <t>2WZyfujzMweFLnozyUJBkW</t>
  </si>
  <si>
    <t>Augustana</t>
  </si>
  <si>
    <t>All The Stars and Boulevards</t>
  </si>
  <si>
    <t>Boston</t>
  </si>
  <si>
    <t>2.08e-05</t>
  </si>
  <si>
    <t>6gijbGNDNNJgT60Aj7UCyc</t>
  </si>
  <si>
    <t>Matthew Perryman Jones</t>
  </si>
  <si>
    <t>Living in the Shadows</t>
  </si>
  <si>
    <t>9.96e-06</t>
  </si>
  <si>
    <t>5pq4v03P5PxMcnCagg4S3Z</t>
  </si>
  <si>
    <t>In Case You Didnâ€™t Know</t>
  </si>
  <si>
    <t>08OjvLnGR3M0HUhcePeMNO</t>
  </si>
  <si>
    <t>death bed (coffee for your head)</t>
  </si>
  <si>
    <t>65VhbQdqvozUntjnlFkFbZ</t>
  </si>
  <si>
    <t>You Are My Sunshine</t>
  </si>
  <si>
    <t>05pKAafT85jeeNhZ6kq7HT</t>
  </si>
  <si>
    <t>3PG6V5yuFfo4APiovOQoRv</t>
  </si>
  <si>
    <t>Ray LaMontagne;Sierra Ferrell</t>
  </si>
  <si>
    <t>I Was Born To Love You</t>
  </si>
  <si>
    <t>6.9e-05</t>
  </si>
  <si>
    <t>5O9R57EozcpLKGQBzadPVy</t>
  </si>
  <si>
    <t>Meg Birch</t>
  </si>
  <si>
    <t>Life Sucks Playlist</t>
  </si>
  <si>
    <t>Only Love Can Hurt Like This</t>
  </si>
  <si>
    <t>6ta5yavnnEfCE4faU0jebM</t>
  </si>
  <si>
    <t>Catherine Feeny</t>
  </si>
  <si>
    <t>Hurricane Glass</t>
  </si>
  <si>
    <t>Mr Blue</t>
  </si>
  <si>
    <t>7BRCa8MPiyuvr2VU3O9W0F</t>
  </si>
  <si>
    <t>Joshua Hyslop</t>
  </si>
  <si>
    <t>Where The Mountain Meets The Valley</t>
  </si>
  <si>
    <t>Do Not Let Me Go</t>
  </si>
  <si>
    <t>5e-05</t>
  </si>
  <si>
    <t>5ZhaKUsY68U0lgREFWfoxg</t>
  </si>
  <si>
    <t>Holding On And Letting Go - Single</t>
  </si>
  <si>
    <t>Holding On And Letting Go</t>
  </si>
  <si>
    <t>4zcMBfbQZvBSHQBGDd6gsN</t>
  </si>
  <si>
    <t>JJ Heller</t>
  </si>
  <si>
    <t>You Already Know</t>
  </si>
  <si>
    <t>7bhHLZxkRekrNPPkEdDTbn</t>
  </si>
  <si>
    <t>Believer (Remix)</t>
  </si>
  <si>
    <t>5rwq6R0Uq0BngM3rdmCeNg</t>
  </si>
  <si>
    <t>Howie Day</t>
  </si>
  <si>
    <t>Stop All the World Now (Special Edition)</t>
  </si>
  <si>
    <t>Collide - Acoustic Version</t>
  </si>
  <si>
    <t>2.95e-05</t>
  </si>
  <si>
    <t>2lxBZVbkiCXC1soks2RXwV</t>
  </si>
  <si>
    <t>Ben Rector</t>
  </si>
  <si>
    <t>Magic</t>
  </si>
  <si>
    <t>Love Like This</t>
  </si>
  <si>
    <t>38YgZVHPWOWsKrsCXz6JyP</t>
  </si>
  <si>
    <t>Matt Nathanson</t>
  </si>
  <si>
    <t>Some Mad Hope</t>
  </si>
  <si>
    <t>Come On Get Higher</t>
  </si>
  <si>
    <t>6XrNrp7UtGgyZcHJ0ckL0w</t>
  </si>
  <si>
    <t>Rachael Yamagata</t>
  </si>
  <si>
    <t>Something In the Rain (Music from the Original TV Series)</t>
  </si>
  <si>
    <t>"Something In the Rain" (Something In the Rain, Pt. 1) [Music from the Original TV Series]</t>
  </si>
  <si>
    <t>1.07e-05</t>
  </si>
  <si>
    <t>72R0X0h8YaxYNpegeoOl0M</t>
  </si>
  <si>
    <t>Parachute</t>
  </si>
  <si>
    <t>The Way It Was</t>
  </si>
  <si>
    <t>Kiss Me Slowly</t>
  </si>
  <si>
    <t>3.53e-05</t>
  </si>
  <si>
    <t>6R6ux6KaKrhAg2EIB2krdU</t>
  </si>
  <si>
    <t>Wide Awake</t>
  </si>
  <si>
    <t>Without You</t>
  </si>
  <si>
    <t>2D9w6sabdMCLSheW5aegwO</t>
  </si>
  <si>
    <t>Waiting for My Rocket to Come (Expanded Edition)</t>
  </si>
  <si>
    <t>Absolutely Zero</t>
  </si>
  <si>
    <t>1Qo3taHLFSQpzLm5Sty7M4</t>
  </si>
  <si>
    <t>Sleep All Day</t>
  </si>
  <si>
    <t>71M4QMn8nrok1KFVXwEEyU</t>
  </si>
  <si>
    <t>You and I Both</t>
  </si>
  <si>
    <t>4lxGVzcUaSF5HW5jtWnShV</t>
  </si>
  <si>
    <t>Long Nights</t>
  </si>
  <si>
    <t>2PIlBukQ6limukVR8Ubb5o</t>
  </si>
  <si>
    <t>English Rain</t>
  </si>
  <si>
    <t>5p9XWUdvbUzmPCukOmwoU3</t>
  </si>
  <si>
    <t>Eye To The Telescope</t>
  </si>
  <si>
    <t>1uSuY2qLCbx1QB7oPUVhFG</t>
  </si>
  <si>
    <t>Who Needs Shelter</t>
  </si>
  <si>
    <t>2.21e-06</t>
  </si>
  <si>
    <t>6twvFrIoIINH8UW8EB8OnU</t>
  </si>
  <si>
    <t>No Stopping Us</t>
  </si>
  <si>
    <t>3.23e-05</t>
  </si>
  <si>
    <t>2pelUnMKr07JjJpilj9Yew</t>
  </si>
  <si>
    <t>I'll Do Anything</t>
  </si>
  <si>
    <t>7d0bJhpp0mCYyMXaMgWyMS</t>
  </si>
  <si>
    <t>I Dream of You: CALM</t>
  </si>
  <si>
    <t>Make You Feel My Love</t>
  </si>
  <si>
    <t>3.23e-06</t>
  </si>
  <si>
    <t>73CbJykoV6WapWGfTeRzTl</t>
  </si>
  <si>
    <t>The Remedy (I Won't Worry)</t>
  </si>
  <si>
    <t>3ixLIO5BsTmic0Pp27FaPY</t>
  </si>
  <si>
    <t>Too Much Food</t>
  </si>
  <si>
    <t>5ZetMq21bMQN5oo4TtdOxu</t>
  </si>
  <si>
    <t>The Boy's Gone</t>
  </si>
  <si>
    <t>73oHkllHIT8fdbzpxiXW40</t>
  </si>
  <si>
    <t>On Love, in Sadness</t>
  </si>
  <si>
    <t>4MihgVRpD82EZoT61GW63w</t>
  </si>
  <si>
    <t>Curbside Prophet</t>
  </si>
  <si>
    <t>1BECZPXBXzobsfmlzj0g3I</t>
  </si>
  <si>
    <t>Tonight, Not Again - Live</t>
  </si>
  <si>
    <t>14vExHBkh1prEAN94wZug8</t>
  </si>
  <si>
    <t>Tonight, Not Again</t>
  </si>
  <si>
    <t>1.06e-05</t>
  </si>
  <si>
    <t>0fzCtVM9D5UEwiLqcY8Ouq</t>
  </si>
  <si>
    <t>Hard Sun</t>
  </si>
  <si>
    <t>6IF2P93LkyW4GqDQu1yS7H</t>
  </si>
  <si>
    <t>Susie Suh;Robot Koch</t>
  </si>
  <si>
    <t>Here with Me</t>
  </si>
  <si>
    <t>34dnNAUoIPcwnK0RtVMBWZ</t>
  </si>
  <si>
    <t>Tyler Ward;Lindsey Stirling;Kina Grannis</t>
  </si>
  <si>
    <t>Tyler Ward Covers, Vol. 5</t>
  </si>
  <si>
    <t>The Scientist</t>
  </si>
  <si>
    <t>5aDpULK8MbJmHl42kR5KNI</t>
  </si>
  <si>
    <t>Stop All The World Now</t>
  </si>
  <si>
    <t>Collide</t>
  </si>
  <si>
    <t>5.35e-05</t>
  </si>
  <si>
    <t>1fI1TMpz7FVkpoYBhmiywp</t>
  </si>
  <si>
    <t>Eden Elf;Ren Avel</t>
  </si>
  <si>
    <t>get better</t>
  </si>
  <si>
    <t>2.26e-05</t>
  </si>
  <si>
    <t>23Mcmg5O8rBKAOzxvrTjnD</t>
  </si>
  <si>
    <t>Sympathy</t>
  </si>
  <si>
    <t>0gVbkmFqq5fIkXtJJ3UTfM</t>
  </si>
  <si>
    <t>Boyce Avenue;Rachel Grae</t>
  </si>
  <si>
    <t>Let It Go</t>
  </si>
  <si>
    <t>00DuOxungwHwVUX2m37P0P</t>
  </si>
  <si>
    <t>What You Need</t>
  </si>
  <si>
    <t>2lFlveK1y13WWp3vnQtrr3</t>
  </si>
  <si>
    <t>The Battle for Everything</t>
  </si>
  <si>
    <t>100 Years</t>
  </si>
  <si>
    <t>2.17e-05</t>
  </si>
  <si>
    <t>2WD93lsfJonaKtrQtpLB2R</t>
  </si>
  <si>
    <t>Nightshade</t>
  </si>
  <si>
    <t>You're the Sea</t>
  </si>
  <si>
    <t>7njTGO45SkaBTNu35t2Yq0</t>
  </si>
  <si>
    <t>One Spring Night (Original Television Soundtrack), Pt. 1</t>
  </si>
  <si>
    <t>No Direction</t>
  </si>
  <si>
    <t>6ivkBaxvclVhwZDE2uwldj</t>
  </si>
  <si>
    <t>Cary Brothers</t>
  </si>
  <si>
    <t>Under Control</t>
  </si>
  <si>
    <t>Belong</t>
  </si>
  <si>
    <t>6Cvti10W0AzmzG9D1tpuKp</t>
  </si>
  <si>
    <t>The Mayries</t>
  </si>
  <si>
    <t>As It Was</t>
  </si>
  <si>
    <t>03yc0G2OoH1Eeyu7Piy8fK</t>
  </si>
  <si>
    <t>5RO0MNa5hBKIM4OcjygadU</t>
  </si>
  <si>
    <t>Joseph Sullinger</t>
  </si>
  <si>
    <t>Chi Mai</t>
  </si>
  <si>
    <t>78TKtlSLWK8pZAKKW3MyQL</t>
  </si>
  <si>
    <t>3.49e-06</t>
  </si>
  <si>
    <t>1esE8j1nVyzEQ5rVhYXoJT</t>
  </si>
  <si>
    <t>Had It All</t>
  </si>
  <si>
    <t>68Yc9ylRZZPtsuVgtrxcDj</t>
  </si>
  <si>
    <t>Zack Tabudlo;Yonnyboii</t>
  </si>
  <si>
    <t>Take Me Back</t>
  </si>
  <si>
    <t>Take Me Back ft. Yonnyboii</t>
  </si>
  <si>
    <t>3tjjCCdXSdaVEo4q4y071G</t>
  </si>
  <si>
    <t>Tobey Rosen</t>
  </si>
  <si>
    <t>Whole Again (Acoustic Version)</t>
  </si>
  <si>
    <t>Whole Again - Acoustic Version</t>
  </si>
  <si>
    <t>3tob5ofeuvFKKSbOTldenC</t>
  </si>
  <si>
    <t>Overpass Graffiti</t>
  </si>
  <si>
    <t>4E6cwWJWZw2zWf7VFbH7wf</t>
  </si>
  <si>
    <t>Love Song</t>
  </si>
  <si>
    <t>3uAdZpIbMTtVXitHVibLMV</t>
  </si>
  <si>
    <t>Let Her Go</t>
  </si>
  <si>
    <t>2LC523tbEPFpc1pnikbt5b</t>
  </si>
  <si>
    <t>Aqualung</t>
  </si>
  <si>
    <t>Still Life</t>
  </si>
  <si>
    <t>Brighter Than Sunshine</t>
  </si>
  <si>
    <t>3ISLwA96mtx13Wx7K1PPPk</t>
  </si>
  <si>
    <t>Tyler Ward;Karis;Ray Lorraine</t>
  </si>
  <si>
    <t>Love Story</t>
  </si>
  <si>
    <t>7Ca2CkwSqHyr3eCh8IRdjz</t>
  </si>
  <si>
    <t>AgustÃ­n AmigÃ³;Nylonwings</t>
  </si>
  <si>
    <t>Mujer con Abanico</t>
  </si>
  <si>
    <t>6ql0ffq6Jvyh9OKqrJCMaP</t>
  </si>
  <si>
    <t>Amy Stroup</t>
  </si>
  <si>
    <t>In the Shadows</t>
  </si>
  <si>
    <t>1EyvonxK8OGHRV4WDRdArc</t>
  </si>
  <si>
    <t>Boyce Avenue;Connie Talbot</t>
  </si>
  <si>
    <t>Can You Feel the Love Tonight</t>
  </si>
  <si>
    <t>2.24e-06</t>
  </si>
  <si>
    <t>0EKBV6GybPtALXUgWqWrym</t>
  </si>
  <si>
    <t>The Story</t>
  </si>
  <si>
    <t>3.78e-06</t>
  </si>
  <si>
    <t>41A82PidFKhGX5hm1WoaDs</t>
  </si>
  <si>
    <t>Better</t>
  </si>
  <si>
    <t>5oV8bZaShr2d01FFMHBUPq</t>
  </si>
  <si>
    <t>Iris</t>
  </si>
  <si>
    <t>5nMRpGfqQ0tb1TMbqBVK2J</t>
  </si>
  <si>
    <t>#Acoustic</t>
  </si>
  <si>
    <t>Rockabye - Acoustic Version</t>
  </si>
  <si>
    <t>04qDUASuSfVp6fktfsxVej</t>
  </si>
  <si>
    <t>Caleb Santos;Viva Music Publishing Inc.</t>
  </si>
  <si>
    <t>I Need You More Today</t>
  </si>
  <si>
    <t>3g61xRaqII8q1wlQDzv550</t>
  </si>
  <si>
    <t>Beautiful Soul</t>
  </si>
  <si>
    <t>3dglCYsVMjPbDlU2CC9Vq7</t>
  </si>
  <si>
    <t>Let's See What The Night Can Do</t>
  </si>
  <si>
    <t>2f4jlGvGi3ZDGogXys5FUp</t>
  </si>
  <si>
    <t>La La La (Something In the Rain, Pt. 2) [Music from the Original TV Series]</t>
  </si>
  <si>
    <t>3NCg46FWgnANZc9HQHQOQR</t>
  </si>
  <si>
    <t>Forever And Always</t>
  </si>
  <si>
    <t>0muntSMuAZzcwYBBMZj6sf</t>
  </si>
  <si>
    <t>Priscilla Ahn</t>
  </si>
  <si>
    <t>When Marnie Was There Song Album - Just Know That I Love You.</t>
  </si>
  <si>
    <t>Fine On The Outside</t>
  </si>
  <si>
    <t>4bXoVtbp6fN8FaSQvGQB41</t>
  </si>
  <si>
    <t>Tree House Tapes</t>
  </si>
  <si>
    <t>Tortured Soul</t>
  </si>
  <si>
    <t>2.26e-06</t>
  </si>
  <si>
    <t>3FRARAKLpHw3er9ZaTwaHO</t>
  </si>
  <si>
    <t>I Believe in You</t>
  </si>
  <si>
    <t>1.2e-05</t>
  </si>
  <si>
    <t>2Dzhwe90lhHXVU6lk7Nx0H</t>
  </si>
  <si>
    <t>Jon Bryant</t>
  </si>
  <si>
    <t>Cult Classic</t>
  </si>
  <si>
    <t>At Home</t>
  </si>
  <si>
    <t>12niARgkwxGsklcEwh6GlG</t>
  </si>
  <si>
    <t>Donovan Woods</t>
  </si>
  <si>
    <t>Hard Settle, Ain't Troubled</t>
  </si>
  <si>
    <t>Portland, Maine</t>
  </si>
  <si>
    <t>0v0pc1lIt5p6EBX7pnfOGF</t>
  </si>
  <si>
    <t>Holding On and Letting Go LP</t>
  </si>
  <si>
    <t>Holding On and Letting Go</t>
  </si>
  <si>
    <t>5wQci5VCUjdbKnRD61XYwu</t>
  </si>
  <si>
    <t>In Deepest Blue (Bonus Track Version)</t>
  </si>
  <si>
    <t>The Flood</t>
  </si>
  <si>
    <t>0HQnJee8ShSDu2AYwibxst</t>
  </si>
  <si>
    <t>Angelina Cruz</t>
  </si>
  <si>
    <t>Hanggang Kailan (Umuwi Ka Na Baby)</t>
  </si>
  <si>
    <t>9.95e-06</t>
  </si>
  <si>
    <t>4VoJCUgNmnqG2qF0peDBkw</t>
  </si>
  <si>
    <t>Stephen Speaks</t>
  </si>
  <si>
    <t>No More Doubt</t>
  </si>
  <si>
    <t>Out of My League</t>
  </si>
  <si>
    <t>7xLhousIHDxoGgeJNhO4Ye</t>
  </si>
  <si>
    <t>1.58e-06</t>
  </si>
  <si>
    <t>1bhpBRCLsVg3p7BWARbaDS</t>
  </si>
  <si>
    <t>Rise</t>
  </si>
  <si>
    <t>6NSlOEEtWlqvEFrjQsry77</t>
  </si>
  <si>
    <t>The Weepies;Deb Talan;Steve Tannen</t>
  </si>
  <si>
    <t>Say I Am You</t>
  </si>
  <si>
    <t>World Spins Madly On</t>
  </si>
  <si>
    <t>4.32e-05</t>
  </si>
  <si>
    <t>1HqVCK9h4LiJ61aRrrKTAt</t>
  </si>
  <si>
    <t>Freddie King</t>
  </si>
  <si>
    <t>Thanksgiving Party</t>
  </si>
  <si>
    <t>Stumble</t>
  </si>
  <si>
    <t>0wP19iM8ULJyV0r0LFDsDv</t>
  </si>
  <si>
    <t>Taj Mahal</t>
  </si>
  <si>
    <t>Supa Chill</t>
  </si>
  <si>
    <t>Paradise</t>
  </si>
  <si>
    <t>27Fq4XyOkogdGLcfsVdjFb</t>
  </si>
  <si>
    <t>Keb' Mo';Gerald Albright</t>
  </si>
  <si>
    <t>Un tecito y a mimir</t>
  </si>
  <si>
    <t>Moonlight, Mistletoe &amp; You</t>
  </si>
  <si>
    <t>45jGOHwYKgsRYbAJ8DR61d</t>
  </si>
  <si>
    <t>é’ã®å…‰æ™¯</t>
  </si>
  <si>
    <t>ã²ã¾ã‚ã‚Šã®ç´„æŸ</t>
  </si>
  <si>
    <t>4iObEYRE4FLm0D90gmZFef</t>
  </si>
  <si>
    <t>Thomas Daniel</t>
  </si>
  <si>
    <t>Since U Been Gone</t>
  </si>
  <si>
    <t>Since U Been Gone - Acoustic Version</t>
  </si>
  <si>
    <t>3akr0ZrJxLMBLIFeNNKffW</t>
  </si>
  <si>
    <t>Masayoshi Yamazaki</t>
  </si>
  <si>
    <t>One more time,One more chance</t>
  </si>
  <si>
    <t>7BRwh1bemr9rFMDeTbcy5S</t>
  </si>
  <si>
    <t>Creep</t>
  </si>
  <si>
    <t>3rzRo91l4htQvMXhsiECAX</t>
  </si>
  <si>
    <t>Todd Carey;Ariza;Chuck Leavell</t>
  </si>
  <si>
    <t>Higher Love</t>
  </si>
  <si>
    <t>2.8e-06</t>
  </si>
  <si>
    <t>0v1vufjir4OE4iRckLMoLd</t>
  </si>
  <si>
    <t>YUZU</t>
  </si>
  <si>
    <t>Shinsekai</t>
  </si>
  <si>
    <t>Hyouriittai</t>
  </si>
  <si>
    <t>4vAnqYqm1DOo5IDVcxORX3</t>
  </si>
  <si>
    <t>How Long Will I Love You</t>
  </si>
  <si>
    <t>2X5AFygz5SDYlXagyPw8kX</t>
  </si>
  <si>
    <t>Binibini</t>
  </si>
  <si>
    <t>1.54e-06</t>
  </si>
  <si>
    <t>13GvSZgg9LOs3M9uGbWsPE</t>
  </si>
  <si>
    <t>You Were Supposed to Be Different</t>
  </si>
  <si>
    <t>8.48e-05</t>
  </si>
  <si>
    <t>4cR4nao0hqqBtklQmGVqbe</t>
  </si>
  <si>
    <t>Thinking out Loud</t>
  </si>
  <si>
    <t>4x7AdVDV9IFWp8pg4LMz90</t>
  </si>
  <si>
    <t>Jonah Baker</t>
  </si>
  <si>
    <t>Perfect / Style</t>
  </si>
  <si>
    <t>5eNYumDY5PCXtKKJ0SWg2r</t>
  </si>
  <si>
    <t>Barton Hollow</t>
  </si>
  <si>
    <t>Poison &amp; Wine</t>
  </si>
  <si>
    <t>7.3e-05</t>
  </si>
  <si>
    <t>6dwkFmLUz6hx2CZG2EqLol</t>
  </si>
  <si>
    <t>7aohwSiTDju51QmC54AUba</t>
  </si>
  <si>
    <t>Be OK</t>
  </si>
  <si>
    <t>You And I</t>
  </si>
  <si>
    <t>7g3ryXLtXExZ0OFCj17Ae1</t>
  </si>
  <si>
    <t>Zack Tabudlo;Billkin</t>
  </si>
  <si>
    <t>Give Me Your Forever (ft. Billkin)</t>
  </si>
  <si>
    <t>5MrgVJzR1du1gz8XWe4m28</t>
  </si>
  <si>
    <t>Coffee Shop</t>
  </si>
  <si>
    <t>5auMzVHFr5Zfw6IbKarZ56</t>
  </si>
  <si>
    <t>Anna Nalick</t>
  </si>
  <si>
    <t>Wreck of the Day</t>
  </si>
  <si>
    <t>Breathe (2 AM)</t>
  </si>
  <si>
    <t>63bmIgH9sS6sX5Sc7MetGq</t>
  </si>
  <si>
    <t>Habang Buhay</t>
  </si>
  <si>
    <t>3ZjSJv88euP3CdvTg07dZL</t>
  </si>
  <si>
    <t>14BMBNRzv24eG6OKoIgPfP</t>
  </si>
  <si>
    <t>Bulletproof</t>
  </si>
  <si>
    <t>5pEmeoMUW38w1oU3kPelvR</t>
  </si>
  <si>
    <t>Spectrum</t>
  </si>
  <si>
    <t>2h3VsZVKQeT0yLNQtCIRjn</t>
  </si>
  <si>
    <t>Girls Like You (Acoustic Version)</t>
  </si>
  <si>
    <t>Girls Like You - Acoustic Version</t>
  </si>
  <si>
    <t>1dcNEEtODRVZEevQ20Cgmy</t>
  </si>
  <si>
    <t>Nangangamba</t>
  </si>
  <si>
    <t>6huS9u0BDfeQHq0lObNLPl</t>
  </si>
  <si>
    <t>Us The Duo</t>
  </si>
  <si>
    <t>Better Together</t>
  </si>
  <si>
    <t>14NiShC5b46yQxBN1mu9VJ</t>
  </si>
  <si>
    <t>Heartbreak Anniversary</t>
  </si>
  <si>
    <t>3DyhwZyBFedvnt68fMi6vf</t>
  </si>
  <si>
    <t>One More Time Around</t>
  </si>
  <si>
    <t>6kRZfOZSuoi0Htg6gROKDz</t>
  </si>
  <si>
    <t>æµæ˜ŸèŠ±åœ’éŸ³æ¨‚å°ˆè¼¯</t>
  </si>
  <si>
    <t>1.74e-06</t>
  </si>
  <si>
    <t>5e9DrLUUZraUE7mmniufjn</t>
  </si>
  <si>
    <t>Heart Canâ€™t Lose</t>
  </si>
  <si>
    <t>2z3HKlpENvfz1Am2MNF2pL</t>
  </si>
  <si>
    <t>Donovan Woods;Tenille Townes</t>
  </si>
  <si>
    <t>The Other Way</t>
  </si>
  <si>
    <t>I Ain't Ever Loved No One - Acoustic</t>
  </si>
  <si>
    <t>33JX2be3eKVhl5xk8YQhVc</t>
  </si>
  <si>
    <t>Ray LaMontagne</t>
  </si>
  <si>
    <t>Till The Sun Turns Black</t>
  </si>
  <si>
    <t>Empty</t>
  </si>
  <si>
    <t>29Ns3avs48iQhNQgrHMEkm</t>
  </si>
  <si>
    <t>Megan Davies</t>
  </si>
  <si>
    <t>See You Again, Love Me Like You Do, Sugar (Acoustic Mashup)</t>
  </si>
  <si>
    <t>See You Again, Love Me Like You Do, Sugar - Acoustic Mashup</t>
  </si>
  <si>
    <t>2XDxQ3VzovLzh60zgOaNEi</t>
  </si>
  <si>
    <t>The Reason</t>
  </si>
  <si>
    <t>0J4sK2VO75cRSVoj0FokQn</t>
  </si>
  <si>
    <t>Refuge</t>
  </si>
  <si>
    <t>Fix You</t>
  </si>
  <si>
    <t>2.37e-05</t>
  </si>
  <si>
    <t>7bpR5j22mNID1pXwgRcZP1</t>
  </si>
  <si>
    <t>Hand to Hold</t>
  </si>
  <si>
    <t>7.97e-06</t>
  </si>
  <si>
    <t>1U1GtaJeYwGsPgqV9Me5bb</t>
  </si>
  <si>
    <t>Trouble</t>
  </si>
  <si>
    <t>Hold You in My Arms</t>
  </si>
  <si>
    <t>34p2uL1CvmaHn3uLfOKt8d</t>
  </si>
  <si>
    <t>Public Record</t>
  </si>
  <si>
    <t>One Last Dance</t>
  </si>
  <si>
    <t>2EKxmYmUdAVXlaHCnnW13o</t>
  </si>
  <si>
    <t>Boyce Avenue;Megan Nicole</t>
  </si>
  <si>
    <t>Cover Sessions, Vol. 2</t>
  </si>
  <si>
    <t>Heaven</t>
  </si>
  <si>
    <t>1jkBuvWI9IGEz9thXiKOlP</t>
  </si>
  <si>
    <t>The Spark - Bonus Track</t>
  </si>
  <si>
    <t>7K36drJq6lInkW6Kkojucp</t>
  </si>
  <si>
    <t>Medicine</t>
  </si>
  <si>
    <t>American Beauty</t>
  </si>
  <si>
    <t>4PuUa8e5s7P3Zv1IdCGIsa</t>
  </si>
  <si>
    <t>Part Of The Light</t>
  </si>
  <si>
    <t>Such A Simple Thing</t>
  </si>
  <si>
    <t>72SPsHheqN6J3sI520jT9E</t>
  </si>
  <si>
    <t>Amos Lee</t>
  </si>
  <si>
    <t>Colors</t>
  </si>
  <si>
    <t>52J3WARiRHMtXbFXUWrVgu</t>
  </si>
  <si>
    <t>Someone You Loved</t>
  </si>
  <si>
    <t>03VNgdCL9t8aPyvwZecglI</t>
  </si>
  <si>
    <t>Jason Mraz;Meghan Trainor</t>
  </si>
  <si>
    <t>More Than Friends (feat. Meghan Trainor)</t>
  </si>
  <si>
    <t>3M6NL7PxIDZ3ArfPrBUTUP</t>
  </si>
  <si>
    <t>Days N Daze</t>
  </si>
  <si>
    <t>Show Me the Blueprints.</t>
  </si>
  <si>
    <t>Flurry Rush</t>
  </si>
  <si>
    <t>7jJH8F3PHlNvxfqEAAfFDl</t>
  </si>
  <si>
    <t>I Choose You</t>
  </si>
  <si>
    <t>6JNEDSev5Tp5VQR04SEBfV</t>
  </si>
  <si>
    <t>Mindy Gledhill</t>
  </si>
  <si>
    <t>Anchor</t>
  </si>
  <si>
    <t>I Do Adore</t>
  </si>
  <si>
    <t>1gRa1tyGV1GY60QgU5DkQH</t>
  </si>
  <si>
    <t>Dave Barnes</t>
  </si>
  <si>
    <t>Christmas Faves 2022</t>
  </si>
  <si>
    <t>I'll Be Home For Christmas</t>
  </si>
  <si>
    <t>5DUAKXpyv3nL50PnAQbPS0</t>
  </si>
  <si>
    <t>Get Dead</t>
  </si>
  <si>
    <t>Tall Cans &amp; Loose Ends</t>
  </si>
  <si>
    <t>Fuck You</t>
  </si>
  <si>
    <t>6OCsvPU6P84wJ0erggCRv4</t>
  </si>
  <si>
    <t>Albert King</t>
  </si>
  <si>
    <t>pov: you have a holly jolly christmas</t>
  </si>
  <si>
    <t>Christmas Comes But Once A Year</t>
  </si>
  <si>
    <t>5.5e-05</t>
  </si>
  <si>
    <t>7qJtNgmUyzy3R86vJwk9Wp</t>
  </si>
  <si>
    <t>pov: you rock around the christmas tree</t>
  </si>
  <si>
    <t>6hy5eqMQ36KAChR1ZZ05zc</t>
  </si>
  <si>
    <t>If I Ain't Got You (Acoustic)</t>
  </si>
  <si>
    <t>If I Ain't Got You - Acoustic</t>
  </si>
  <si>
    <t>4Gcx0DkgBVticyPDpezwg5</t>
  </si>
  <si>
    <t>Believe (Acoustic)</t>
  </si>
  <si>
    <t>Believe - Acoustic</t>
  </si>
  <si>
    <t>0fUB9bwvKLRpOB18YZHz5N</t>
  </si>
  <si>
    <t>Iris (Acoustic)</t>
  </si>
  <si>
    <t>Iris - Acoustic</t>
  </si>
  <si>
    <t>0I0l2Oo5zjpCEphpDJL0Pm</t>
  </si>
  <si>
    <t>Rain - Long Ver.</t>
  </si>
  <si>
    <t>6.86e-05</t>
  </si>
  <si>
    <t>4v0RBzYNzTknP6d0zN2VQb</t>
  </si>
  <si>
    <t>Aoi Teshima</t>
  </si>
  <si>
    <t>Cheek to Cheek~I Love Cinemas~</t>
  </si>
  <si>
    <t>C'est si bon</t>
  </si>
  <si>
    <t>1FQH1FxPwwIj9aKyPBDf9b</t>
  </si>
  <si>
    <t>Baby (Acoustic Version)</t>
  </si>
  <si>
    <t>4YgEwanzISFU4xa27saTux</t>
  </si>
  <si>
    <t>Land</t>
  </si>
  <si>
    <t>Reason</t>
  </si>
  <si>
    <t>7pKMoXeiCv40wbrjII06VO</t>
  </si>
  <si>
    <t>Boyce Avenue;Emma Heesters</t>
  </si>
  <si>
    <t>I Like Me Better</t>
  </si>
  <si>
    <t>5MYPzdIWgx3pMLRGlq2fVq</t>
  </si>
  <si>
    <t>Asan Ka Na Ba</t>
  </si>
  <si>
    <t>2Qw1KFrJ1q6qHXxWGh51kC</t>
  </si>
  <si>
    <t>A Thousand Years</t>
  </si>
  <si>
    <t>66V40iz2mphPbYvuJVj13i</t>
  </si>
  <si>
    <t>drivers license</t>
  </si>
  <si>
    <t>4Bo6FwC7Oe9zywSZc6q7hO</t>
  </si>
  <si>
    <t>YES!</t>
  </si>
  <si>
    <t>Love Someone</t>
  </si>
  <si>
    <t>6Xbi3gOwMal0Ds3ETvBBwe</t>
  </si>
  <si>
    <t>Jae Hall</t>
  </si>
  <si>
    <t>The Winner Takes It All (Acoustic)</t>
  </si>
  <si>
    <t>The Winner Takes It All - Acoustic</t>
  </si>
  <si>
    <t>4.3e-06</t>
  </si>
  <si>
    <t>6QXolVfFVjUHPp5TVzsjIF</t>
  </si>
  <si>
    <t>Only Time</t>
  </si>
  <si>
    <t>1.24e-05</t>
  </si>
  <si>
    <t>71ehTADpxs85ULrZgSEKCy</t>
  </si>
  <si>
    <t>A Fine Frenzy</t>
  </si>
  <si>
    <t>One Cell In The Sea</t>
  </si>
  <si>
    <t>Almost Lover</t>
  </si>
  <si>
    <t>4zYkSXrfgJyrNkNv3mTiIZ</t>
  </si>
  <si>
    <t>Roses &amp; Frey</t>
  </si>
  <si>
    <t>Dance Monkey</t>
  </si>
  <si>
    <t>1nFJAKHt0jgzVogbNJT3Zz</t>
  </si>
  <si>
    <t>Ocean</t>
  </si>
  <si>
    <t>1RZkqIEM5aV000fKgz9J46</t>
  </si>
  <si>
    <t>Dream a Little Dream of Me</t>
  </si>
  <si>
    <t>0n3E6m57nDZJDyUHllaMDp</t>
  </si>
  <si>
    <t>Back For Good</t>
  </si>
  <si>
    <t>2gBYjMXW65daBB1elr68JK</t>
  </si>
  <si>
    <t>OK</t>
  </si>
  <si>
    <t>3.95e-05</t>
  </si>
  <si>
    <t>1FF6TogE9ELY71XnLPoEv6</t>
  </si>
  <si>
    <t>Just The Two Of Us</t>
  </si>
  <si>
    <t>6G8xunNOicxhPPq9sG2raG</t>
  </si>
  <si>
    <t>Hey There Delilah</t>
  </si>
  <si>
    <t>6LsHKNorX6fPBNcGxU1jQZ</t>
  </si>
  <si>
    <t>Arcade</t>
  </si>
  <si>
    <t>1uxm47Qn1JhUWZHQfcY6w1</t>
  </si>
  <si>
    <t>Yellow</t>
  </si>
  <si>
    <t>2nBrIzKacrNdIxs90FlsT1</t>
  </si>
  <si>
    <t>Wake Me Up</t>
  </si>
  <si>
    <t>5mdjfBsyzl78NQI4sI4IzR</t>
  </si>
  <si>
    <t>Aidan Hawken</t>
  </si>
  <si>
    <t>Walking Blind (feat. Carina Round)</t>
  </si>
  <si>
    <t>Walking Blind</t>
  </si>
  <si>
    <t>7mQmu0JSoEyYU763IJXhIA</t>
  </si>
  <si>
    <t>Headphones</t>
  </si>
  <si>
    <t>2.08e-06</t>
  </si>
  <si>
    <t>08feveJTNL1OMLSrdoHQ6Q</t>
  </si>
  <si>
    <t>The Rescues</t>
  </si>
  <si>
    <t>Teenage Dream</t>
  </si>
  <si>
    <t>4ngv7whSPSAwD8ZP3zMHsd</t>
  </si>
  <si>
    <t>Ivan &amp; Alyosha</t>
  </si>
  <si>
    <t>The Worth Of The Wait</t>
  </si>
  <si>
    <t>8.93e-05</t>
  </si>
  <si>
    <t>24UxG3p1Ghtc5ejJtGBoeL</t>
  </si>
  <si>
    <t>Can't Help Falling In Love (Piano Version)</t>
  </si>
  <si>
    <t>Can't Help Falling In Love - Piano Version</t>
  </si>
  <si>
    <t>4yRlTvPVfEyhXfp6GZurq9</t>
  </si>
  <si>
    <t>Austin Plaine</t>
  </si>
  <si>
    <t>Never Come Back Again</t>
  </si>
  <si>
    <t>3.58e-06</t>
  </si>
  <si>
    <t>5xQTEPjGsLuvwnnvyK3fAA</t>
  </si>
  <si>
    <t>Love You To Death</t>
  </si>
  <si>
    <t>3Mq1SOKwAPYgE0ZtPzvWZZ</t>
  </si>
  <si>
    <t>Plamina</t>
  </si>
  <si>
    <t>Someone You Loved (Acoustic)</t>
  </si>
  <si>
    <t>Someone You Loved - Acoustic</t>
  </si>
  <si>
    <t>38ssTLOvoZyL4CLa4ImDG9</t>
  </si>
  <si>
    <t>Kina Grannis;Imaginary Future</t>
  </si>
  <si>
    <t>What a Wonderful World</t>
  </si>
  <si>
    <t>8.74e-06</t>
  </si>
  <si>
    <t>0njuNwIyB3DoBHC0SFUkOr</t>
  </si>
  <si>
    <t>You Broke Me First</t>
  </si>
  <si>
    <t>5sdliaZjk3rVGuT13UVhxn</t>
  </si>
  <si>
    <t>Echos</t>
  </si>
  <si>
    <t>Long Way Down</t>
  </si>
  <si>
    <t>2Dz5WpEWA0vhnMmEPYiZ2y</t>
  </si>
  <si>
    <t>Losing Sleep</t>
  </si>
  <si>
    <t>She Is Love</t>
  </si>
  <si>
    <t>5w8Cu20Yt1ZNQuVdcafTYC</t>
  </si>
  <si>
    <t>Phillip LaRue</t>
  </si>
  <si>
    <t>The Meaning</t>
  </si>
  <si>
    <t>Marigold</t>
  </si>
  <si>
    <t>1.67e-05</t>
  </si>
  <si>
    <t>1FHCU1rDAeaPsBW9byjJ0Q</t>
  </si>
  <si>
    <t>krissy &amp; ericka</t>
  </si>
  <si>
    <t>Twelve: Fifty One (International Version)</t>
  </si>
  <si>
    <t>0x26yM2rrvtoHGRXXzppx3</t>
  </si>
  <si>
    <t>Takehara Pistol</t>
  </si>
  <si>
    <t>ãƒªãƒ§ã‚¦ãƒ¡ãƒ³ã‚·ã‚¿ã‚™/ã‚µãƒ³ã‚µãƒ¼ãƒ©</t>
  </si>
  <si>
    <t>ã‚µãƒ³ã‚µãƒ¼ãƒ©</t>
  </si>
  <si>
    <t>3.41e-06</t>
  </si>
  <si>
    <t>0Kt5AHOpQAkEsHAuPeB0le</t>
  </si>
  <si>
    <t>Allman Brown;Liz Lawrence</t>
  </si>
  <si>
    <t>1000 Years</t>
  </si>
  <si>
    <t>Sons and Daughters</t>
  </si>
  <si>
    <t>2.14e-06</t>
  </si>
  <si>
    <t>07m8PuXxxv5J4qPEDq6ZkK</t>
  </si>
  <si>
    <t>Brand New</t>
  </si>
  <si>
    <t>1YjMWOorkBaP4MdKkKtp4y</t>
  </si>
  <si>
    <t>Gotta Have You</t>
  </si>
  <si>
    <t>0KF5nzdiqZlxVK68MPITst</t>
  </si>
  <si>
    <t>30,000 Feet</t>
  </si>
  <si>
    <t>1pV4cJaYl9ovK0GcSjH1hy</t>
  </si>
  <si>
    <t>Eddy Tyler</t>
  </si>
  <si>
    <t>Guitar Instrumental Covers</t>
  </si>
  <si>
    <t>2fSIF8CJhoc9CJhF9vJDXp</t>
  </si>
  <si>
    <t>Jolene</t>
  </si>
  <si>
    <t>6J0bdIZElZMymahgVWRE9B</t>
  </si>
  <si>
    <t>No Ceiling</t>
  </si>
  <si>
    <t>5sVyefkGgQeYCgnqr4KslQ</t>
  </si>
  <si>
    <t>Joy Williams</t>
  </si>
  <si>
    <t>Front Porch</t>
  </si>
  <si>
    <t>1MGIxsVtqK2npdPmI8Dj0D</t>
  </si>
  <si>
    <t>Rogue Taxidermy</t>
  </si>
  <si>
    <t>Goodbye Lulu</t>
  </si>
  <si>
    <t>4M4suTUnAYZocl09XEKBZN</t>
  </si>
  <si>
    <t>Cruising</t>
  </si>
  <si>
    <t>Three More Days</t>
  </si>
  <si>
    <t>2C9ePPz58he8jmYEod9pvT</t>
  </si>
  <si>
    <t>Isn't She Lovely (Acoustic)</t>
  </si>
  <si>
    <t>Isn't She Lovely - Acoustic</t>
  </si>
  <si>
    <t>4j0xGuo8Z47wfBiVunT6VR</t>
  </si>
  <si>
    <t>One Spring Night (Original Television Soundtrack), Pt. 4</t>
  </si>
  <si>
    <t>We Could Still Be Happy</t>
  </si>
  <si>
    <t>0JzOJIS7ktLq5Ux6LtYJuW</t>
  </si>
  <si>
    <t>Fix You (Acoustic)</t>
  </si>
  <si>
    <t>Fix You - Acoustic</t>
  </si>
  <si>
    <t>298xJ2nBaWWS0Je5rtlSxT</t>
  </si>
  <si>
    <t>Lusaint</t>
  </si>
  <si>
    <t>I'm Yours (Acoustic)</t>
  </si>
  <si>
    <t>I'm Yours - Acoustic</t>
  </si>
  <si>
    <t>33SH8ZC36EzoRstHbaFE72</t>
  </si>
  <si>
    <t>Boyce Avenue;Sarah Hyland</t>
  </si>
  <si>
    <t>Closer</t>
  </si>
  <si>
    <t>18PrtmAcNMgZNy1edWuXGb</t>
  </si>
  <si>
    <t>Mother's Daughter;Beck Pete</t>
  </si>
  <si>
    <t>A Sky Full of Stars</t>
  </si>
  <si>
    <t>1.38e-05</t>
  </si>
  <si>
    <t>4CU3t2c3TIpmzX44P1VCFi</t>
  </si>
  <si>
    <t>I Don't Believe in Satan</t>
  </si>
  <si>
    <t>0dnRlO7IDzbN9ixVld7hz6</t>
  </si>
  <si>
    <t>The Perishers</t>
  </si>
  <si>
    <t>Let There Be Morning (Bonus Track Version)</t>
  </si>
  <si>
    <t>Pills</t>
  </si>
  <si>
    <t>1XW1lKfocLOAUdp8rUQoNC</t>
  </si>
  <si>
    <t>Tyler Ward;Madysyn</t>
  </si>
  <si>
    <t>he said. she said.</t>
  </si>
  <si>
    <t>Shallow - Acoustic</t>
  </si>
  <si>
    <t>1TZBg0IBHvqfSAlHvVd8eH</t>
  </si>
  <si>
    <t>Watermelon Sugar (Acoustic)</t>
  </si>
  <si>
    <t>Watermelon Sugar - Acoustic</t>
  </si>
  <si>
    <t>5j5OayPyUCnJSK0RynvqgK</t>
  </si>
  <si>
    <t>Matt Johnson;Jaclyn Davies</t>
  </si>
  <si>
    <t>Say You Won't Let Go (Acoustic)</t>
  </si>
  <si>
    <t>Say You Won't Let Go - Acoustic</t>
  </si>
  <si>
    <t>4WtqjjSiGYHORMr6VX3td1</t>
  </si>
  <si>
    <t>0Pi3Ua6fJV1Yx5MGXhfybT</t>
  </si>
  <si>
    <t>Call You Mine (Acoustic Piano)</t>
  </si>
  <si>
    <t>2.75e-06</t>
  </si>
  <si>
    <t>0c99BUd87HQfzgUUQqRyds</t>
  </si>
  <si>
    <t>In the Waiting</t>
  </si>
  <si>
    <t>For Now</t>
  </si>
  <si>
    <t>7JRJOLKHz88pR0YS4pVCao</t>
  </si>
  <si>
    <t>Greg Laswell</t>
  </si>
  <si>
    <t>Three Flights From Alto Nido</t>
  </si>
  <si>
    <t>Sweet Dream</t>
  </si>
  <si>
    <t>0xlyMQ56pZAoGuLCs7GH90</t>
  </si>
  <si>
    <t>Andrew Foy</t>
  </si>
  <si>
    <t>Love Nwantiti</t>
  </si>
  <si>
    <t>5dH4xnErpUOIDrGySWGkfJ</t>
  </si>
  <si>
    <t>Stars Are on Your Side</t>
  </si>
  <si>
    <t>2Sg5gtKvSiRf7TBjI0ObF2</t>
  </si>
  <si>
    <t>Jonah Baker;Sara Phillips</t>
  </si>
  <si>
    <t>We Don't Talk Anymore / Cold (feat. Sara Phillips)</t>
  </si>
  <si>
    <t>2AHZHeLTPuGILKyr4l8uTU</t>
  </si>
  <si>
    <t>Joe Brooks</t>
  </si>
  <si>
    <t>Constellation Me</t>
  </si>
  <si>
    <t>Superman</t>
  </si>
  <si>
    <t>3JKLrIrHpbHtDU1oeYtbYD</t>
  </si>
  <si>
    <t>Cover Sessions, Vol. 5</t>
  </si>
  <si>
    <t>Chasing Cars</t>
  </si>
  <si>
    <t>2CsHDQ1WFLQBBpIEuLcL3z</t>
  </si>
  <si>
    <t>Calm Me Down</t>
  </si>
  <si>
    <t>24Gm1mIhO28NmgT17S95JE</t>
  </si>
  <si>
    <t>Masaharu Fukuyama</t>
  </si>
  <si>
    <t>KISSã—ã¦</t>
  </si>
  <si>
    <t>6j9kSGlYLZdZ9sZkY9DjzY</t>
  </si>
  <si>
    <t>Zack Tabudlo;James TW</t>
  </si>
  <si>
    <t>Binibini (Last Day On Earth)</t>
  </si>
  <si>
    <t>Binibini (Last Day On Earth) (feat. James TW)</t>
  </si>
  <si>
    <t>2UJy2HHo4afrQbI5FizxLM</t>
  </si>
  <si>
    <t>Ciaran Lavery</t>
  </si>
  <si>
    <t>Kosher</t>
  </si>
  <si>
    <t>Left for America</t>
  </si>
  <si>
    <t>7HSk4yGZxfjOkHyOvZrBQZ</t>
  </si>
  <si>
    <t>John Frusciante</t>
  </si>
  <si>
    <t>To Record Only Water For Ten Days (U.S. Version)</t>
  </si>
  <si>
    <t>Ramparts</t>
  </si>
  <si>
    <t>2Jhx81CSHw8xWwBqRM2mZR</t>
  </si>
  <si>
    <t>Hold On (Acoustic)</t>
  </si>
  <si>
    <t>Hold On - Acoustic</t>
  </si>
  <si>
    <t>5.34e-06</t>
  </si>
  <si>
    <t>5P6ZBMWS66FVo6deJaDdHy</t>
  </si>
  <si>
    <t>Dust to Dust</t>
  </si>
  <si>
    <t>5SgFX13gtlQfsNUpoPshwD</t>
  </si>
  <si>
    <t>Good night</t>
  </si>
  <si>
    <t>1.51e-06</t>
  </si>
  <si>
    <t>7vu53hQrIoH7UGeh6qcct1</t>
  </si>
  <si>
    <t>As You Are</t>
  </si>
  <si>
    <t>1.75e-06</t>
  </si>
  <si>
    <t>55RMhrPQYA6vLu5YMgXxFD</t>
  </si>
  <si>
    <t>2KsdoMZsL2ajnjjYUWm1ZT</t>
  </si>
  <si>
    <t>Sara Farell</t>
  </si>
  <si>
    <t>#Covers</t>
  </si>
  <si>
    <t>It Aint Me</t>
  </si>
  <si>
    <t>2fPb58e6f8KxejYDCaARwS</t>
  </si>
  <si>
    <t>4NxUuupOGPquDhy1yFIZK3</t>
  </si>
  <si>
    <t>Ingrid Michaelson;AJR</t>
  </si>
  <si>
    <t>The Lotto</t>
  </si>
  <si>
    <t>0avtLG17MT8kDf9xc67Niv</t>
  </si>
  <si>
    <t>Rodrigo y Gabriela</t>
  </si>
  <si>
    <t>Rodrigo Y Gabriela</t>
  </si>
  <si>
    <t>Tamacun</t>
  </si>
  <si>
    <t>6jI7y83WjuyBne9b3IvdSs</t>
  </si>
  <si>
    <t>The Ladder</t>
  </si>
  <si>
    <t>Make It Without You</t>
  </si>
  <si>
    <t>0ngtyvPUKR4YTtkVKvZP02</t>
  </si>
  <si>
    <t>A Good Day</t>
  </si>
  <si>
    <t>Dream</t>
  </si>
  <si>
    <t>2.96e-05</t>
  </si>
  <si>
    <t>5PoaNLRYLL7rywHSPUOZs8</t>
  </si>
  <si>
    <t>Big Love, Small Moments</t>
  </si>
  <si>
    <t>2.01e-06</t>
  </si>
  <si>
    <t>6DwgZO7AMYelPFwr8WPhpg</t>
  </si>
  <si>
    <t>I Am Not Alone</t>
  </si>
  <si>
    <t>6.17e-05</t>
  </si>
  <si>
    <t>5X3w2MfxgMTZkn2mTPQs0u</t>
  </si>
  <si>
    <t>Stand Your Ground</t>
  </si>
  <si>
    <t>4.59e-06</t>
  </si>
  <si>
    <t>5PCwedwyeLZQ6xAUIKbwos</t>
  </si>
  <si>
    <t>Front Porch Step</t>
  </si>
  <si>
    <t>I Never Loved Before I Found You</t>
  </si>
  <si>
    <t>Perfect Man</t>
  </si>
  <si>
    <t>32kyGOJpEOTFKR9wvPSsxJ</t>
  </si>
  <si>
    <t>It's My Life</t>
  </si>
  <si>
    <t>ã‚ã€‚ã£ã¨ã„ã†é–“ã¯ã‚ã‚‹ã•</t>
  </si>
  <si>
    <t>0ifc4mq2mVNefgQFmtXQpt</t>
  </si>
  <si>
    <t>Eric Hutchinson</t>
  </si>
  <si>
    <t>Pure Fiction</t>
  </si>
  <si>
    <t>Tell The World</t>
  </si>
  <si>
    <t>2gJ3ZOaiWr3jGHwevufOxr</t>
  </si>
  <si>
    <t>Brett Dennen</t>
  </si>
  <si>
    <t>So Much More (Special Edition)</t>
  </si>
  <si>
    <t>Ain't No Reason</t>
  </si>
  <si>
    <t>37jsciEAFxwyjXx0kV6aO6</t>
  </si>
  <si>
    <t>Rail Yard Ghosts</t>
  </si>
  <si>
    <t>Songs from the Lowdown</t>
  </si>
  <si>
    <t>A Month from Now</t>
  </si>
  <si>
    <t>2.75e-05</t>
  </si>
  <si>
    <t>22KbVMZekQbkrHGrubQTpQ</t>
  </si>
  <si>
    <t>What If</t>
  </si>
  <si>
    <t>4RiKD76gS8huCzwWqw0EGC</t>
  </si>
  <si>
    <t>The Bridge City Sinners</t>
  </si>
  <si>
    <t>Bridge City Sinners</t>
  </si>
  <si>
    <t>Pussy Cat</t>
  </si>
  <si>
    <t>3XFhSbm8EdZD6Cjrm1dNJQ</t>
  </si>
  <si>
    <t>Frank Turner</t>
  </si>
  <si>
    <t>Tape Deck Heart (Deluxe Edition)</t>
  </si>
  <si>
    <t>Polaroid Picture</t>
  </si>
  <si>
    <t>4.74e-06</t>
  </si>
  <si>
    <t>3nImoHhXBOqYcdTN8gt9eE</t>
  </si>
  <si>
    <t>Matt Costa</t>
  </si>
  <si>
    <t>I Bet On Flying High</t>
  </si>
  <si>
    <t>0B3g35bVxJ42Y0W0I5WBIU</t>
  </si>
  <si>
    <t>Christmas Vibes But Not Christmas Songs</t>
  </si>
  <si>
    <t>1igSa6QILI1jyE970ZMYW1</t>
  </si>
  <si>
    <t>4AYITlwiumljGdv0NIGR4T</t>
  </si>
  <si>
    <t>Mirrors (Acoustic)</t>
  </si>
  <si>
    <t>Mirrors - Acoustic</t>
  </si>
  <si>
    <t>3YvutLE6lwEyW4WMF5FIi6</t>
  </si>
  <si>
    <t>Aqualung;Kina Grannis</t>
  </si>
  <si>
    <t>10 Futures</t>
  </si>
  <si>
    <t>To the Wonder (feat. Kina Grannis)</t>
  </si>
  <si>
    <t>3geIJghtdmVc7GeJio1xlj</t>
  </si>
  <si>
    <t>Stay - Acoustic</t>
  </si>
  <si>
    <t>1yycinn2WICj4UKGQ9xPjD</t>
  </si>
  <si>
    <t>Ichiko Aoba</t>
  </si>
  <si>
    <t>ãƒžãƒ›ãƒ­ãƒœã‚·ãƒ¤</t>
  </si>
  <si>
    <t>å¤ªé™½ã•ã‚“</t>
  </si>
  <si>
    <t>5Z8O4RFAmjA13jrOYIgyXA</t>
  </si>
  <si>
    <t>Oh What A Love</t>
  </si>
  <si>
    <t>1ABd3bWsG4FCKePjXeVfJG</t>
  </si>
  <si>
    <t>Meiko</t>
  </si>
  <si>
    <t>The Bright Side</t>
  </si>
  <si>
    <t>Leave The Lights On</t>
  </si>
  <si>
    <t>4I18rXWixQBWc8JhTqx6Xn</t>
  </si>
  <si>
    <t>Erin McCarley</t>
  </si>
  <si>
    <t>I Won't Let You Down</t>
  </si>
  <si>
    <t>7.61e-05</t>
  </si>
  <si>
    <t>3IORLAm07yxo4T7B8cRET3</t>
  </si>
  <si>
    <t>Look For The Good</t>
  </si>
  <si>
    <t>Look For The Good (Single Version)</t>
  </si>
  <si>
    <t>4sAX65hbNtEC1lceCdGuMt</t>
  </si>
  <si>
    <t>Isabella Celander</t>
  </si>
  <si>
    <t>Stargazing</t>
  </si>
  <si>
    <t>1.73e-06</t>
  </si>
  <si>
    <t>7vg5fesQdq5I7Z7XGdyJd5</t>
  </si>
  <si>
    <t>6Xrq1dAFgZcSi5HuuHe27i</t>
  </si>
  <si>
    <t>One Spring Night (Original Television Soundtrack), Pt. 3</t>
  </si>
  <si>
    <t>Is It You</t>
  </si>
  <si>
    <t>2TRXV6DoQLjdRrBR6ED6NP</t>
  </si>
  <si>
    <t>Slow Down Time</t>
  </si>
  <si>
    <t>6.73e-05</t>
  </si>
  <si>
    <t>6xXvAzowcCQmoKdDr1oIFJ</t>
  </si>
  <si>
    <t>Amber Leigh Irish</t>
  </si>
  <si>
    <t>Simply Acoustic</t>
  </si>
  <si>
    <t>2002 - Acoustic</t>
  </si>
  <si>
    <t>5L4G3nwKkd4wykW4BV9sVe</t>
  </si>
  <si>
    <t>Jess Penner</t>
  </si>
  <si>
    <t>Love, Love, Love</t>
  </si>
  <si>
    <t>Sweeter</t>
  </si>
  <si>
    <t>0QzY6rP7C8IWMnpEyuQmC6</t>
  </si>
  <si>
    <t>Daniel Robinson</t>
  </si>
  <si>
    <t>Heat Waves (Acoustic)</t>
  </si>
  <si>
    <t>Heat Waves - Acoustic</t>
  </si>
  <si>
    <t>3XdStlaHnq3JrmQDCRqEET</t>
  </si>
  <si>
    <t>Yosui Inoue;Tamio Okuda</t>
  </si>
  <si>
    <t>ã‚·ãƒ§ãƒƒãƒ”ãƒ³ã‚°</t>
  </si>
  <si>
    <t>ã‚¢ã‚¸ã‚¢ã®ç´”çœŸ</t>
  </si>
  <si>
    <t>3.04e-05</t>
  </si>
  <si>
    <t>4h3rI4uxGsbA4LsLt1nB2t</t>
  </si>
  <si>
    <t>Jonah Baker;Celine</t>
  </si>
  <si>
    <t>If the World Was Ending (Acoustic)</t>
  </si>
  <si>
    <t>If the World Was Ending - Acoustic</t>
  </si>
  <si>
    <t>2KhS0LVOw9ralhfbcIi7vL</t>
  </si>
  <si>
    <t>Comes And Goes (In Waves)</t>
  </si>
  <si>
    <t>6fPblqm2OhtEKvaUEQzLzJ</t>
  </si>
  <si>
    <t>æ®‹éŸ¿</t>
  </si>
  <si>
    <t>ãªãŒã‚Œæ˜Ÿ</t>
  </si>
  <si>
    <t>2.77e-05</t>
  </si>
  <si>
    <t>0wFSrH6x1iQOdUljUueAcd</t>
  </si>
  <si>
    <t>Blame Jones</t>
  </si>
  <si>
    <t>Acoustic Versions</t>
  </si>
  <si>
    <t>Dusk Till Dawn - Acoustic</t>
  </si>
  <si>
    <t>1wSZdWFZphxDh6iJhWlIUi</t>
  </si>
  <si>
    <t>Don't Wanna Leave You</t>
  </si>
  <si>
    <t>5ZpSUdy5wL5Hvwsqz6JCAt</t>
  </si>
  <si>
    <t>Passenger Seat</t>
  </si>
  <si>
    <t>3mDvi0k4LuCA7ViLf3Qb3O</t>
  </si>
  <si>
    <t>Matt White</t>
  </si>
  <si>
    <t>Best Days</t>
  </si>
  <si>
    <t>Love</t>
  </si>
  <si>
    <t>5D6xoqZwDoqRO5V9rNgxFO</t>
  </si>
  <si>
    <t>Hallelujah</t>
  </si>
  <si>
    <t>2.22e-06</t>
  </si>
  <si>
    <t>09t3kwndNebf3RV8DZ5pw3</t>
  </si>
  <si>
    <t>Madi Diaz</t>
  </si>
  <si>
    <t>Phantom</t>
  </si>
  <si>
    <t>Ashes</t>
  </si>
  <si>
    <t>3yVSlc3y7YWZPAreTHjH9v</t>
  </si>
  <si>
    <t>æ˜Žæ—¥ã®â˜†SHOW</t>
  </si>
  <si>
    <t>5LHruF9uFyPxGpimaknrU8</t>
  </si>
  <si>
    <t>Love Me Like You Do</t>
  </si>
  <si>
    <t>3SxMBVdL2gxhX5V5dXF9jy</t>
  </si>
  <si>
    <t>Bluebird</t>
  </si>
  <si>
    <t>Lost Sparks</t>
  </si>
  <si>
    <t>9.28e-06</t>
  </si>
  <si>
    <t>6XCPQygbj33s7OUxlbo6bX</t>
  </si>
  <si>
    <t>Tristan Prettyman</t>
  </si>
  <si>
    <t>Back to Home</t>
  </si>
  <si>
    <t>Who We Are</t>
  </si>
  <si>
    <t>4.43e-05</t>
  </si>
  <si>
    <t>0IZJR2XrPdWqHdnpaPixw9</t>
  </si>
  <si>
    <t>SING A SONG</t>
  </si>
  <si>
    <t>Heart (Original Version)</t>
  </si>
  <si>
    <t>3VIbZxc3oo1eAlb7tcRsG1</t>
  </si>
  <si>
    <t>It'll Be Alright</t>
  </si>
  <si>
    <t>2.81e-05</t>
  </si>
  <si>
    <t>3SBzDgdTwHOMSik82ZI6L2</t>
  </si>
  <si>
    <t>Everybody</t>
  </si>
  <si>
    <t>2hSag78vkaBXqpaDF3serw</t>
  </si>
  <si>
    <t>Mark Oblea</t>
  </si>
  <si>
    <t>Kabilugan Ng Buwan</t>
  </si>
  <si>
    <t>3wpZTp7HM8Dv25oExNgCC6</t>
  </si>
  <si>
    <t>Keep Breathing</t>
  </si>
  <si>
    <t>63wsZUhUZLlh1OsyrZq7sz</t>
  </si>
  <si>
    <t>Boyce Avenue;Kina Grannis</t>
  </si>
  <si>
    <t>Fast Car</t>
  </si>
  <si>
    <t>2FSkBDGsqZIxcsnKNgtMLx</t>
  </si>
  <si>
    <t>Just the Way You Are</t>
  </si>
  <si>
    <t>3e5UDAmMzMUM95PqjVHC4L</t>
  </si>
  <si>
    <t>2jcDDdBy1foaBC8X9owMrZ</t>
  </si>
  <si>
    <t>HELLO</t>
  </si>
  <si>
    <t>HELLO (Original Version)</t>
  </si>
  <si>
    <t>7KC4B2R255iYIPVG8S7Eey</t>
  </si>
  <si>
    <t>Hanare Gumi</t>
  </si>
  <si>
    <t>ã ã‚Œãã‹ã‚Œã</t>
  </si>
  <si>
    <t>æŽ¥å»</t>
  </si>
  <si>
    <t>7DUnyslSCb05yeSmGGTJ81</t>
  </si>
  <si>
    <t>Brett Dennen;Benedict Cumberbatch</t>
  </si>
  <si>
    <t>August: Osage County (Original Motion Picture Soundtrack)</t>
  </si>
  <si>
    <t>Can't Keep It Inside</t>
  </si>
  <si>
    <t>3.84e-06</t>
  </si>
  <si>
    <t>2lXGLbSXrSACMa2oelt4TE</t>
  </si>
  <si>
    <t>éŸ³ã‚¿ã‚¤ãƒ </t>
  </si>
  <si>
    <t>æ˜Žæ—¥å¤©æ°—ã«ãªã‚Œ</t>
  </si>
  <si>
    <t>8.36e-05</t>
  </si>
  <si>
    <t>6uZroCk7E7L7RhY7NAvC3Y</t>
  </si>
  <si>
    <t>IT'S ONLY LOVE</t>
  </si>
  <si>
    <t>6ITdND5IQ7lHzjkyJZSt53</t>
  </si>
  <si>
    <t>è™¹/ã²ã¾ã‚ã‚Š/ãã‚ŒãŒã™ã¹ã¦ã•</t>
  </si>
  <si>
    <t>ãã‚ŒãŒã™ã¹ã¦ã•</t>
  </si>
  <si>
    <t>71vcffc4Yfz0pt9AbaL386</t>
  </si>
  <si>
    <t>I Don't Wanna Love Somebody Else</t>
  </si>
  <si>
    <t>1.4e-06</t>
  </si>
  <si>
    <t>7wbSp6u3cGj5GTN0lNxZ4X</t>
  </si>
  <si>
    <t>RENT STRIKE</t>
  </si>
  <si>
    <t>Burn It All!</t>
  </si>
  <si>
    <t>4.28e-06</t>
  </si>
  <si>
    <t>0HL3y3bsKSARBSP0qaImwb</t>
  </si>
  <si>
    <t>Onward (Original Motion Picture Soundtrack)</t>
  </si>
  <si>
    <t>Carried Me With You</t>
  </si>
  <si>
    <t>1yZWcHtL0KMhKadWXG26SG</t>
  </si>
  <si>
    <t>Mischief Brew</t>
  </si>
  <si>
    <t>This Is Not for Children</t>
  </si>
  <si>
    <t>O, Pennsyltucky!</t>
  </si>
  <si>
    <t>4N1PJshrO7sHB468RoZQjL</t>
  </si>
  <si>
    <t>No Man's Land</t>
  </si>
  <si>
    <t>I Believed You, William Blake</t>
  </si>
  <si>
    <t>3NrUMv6TqphWgk2PdDdg4H</t>
  </si>
  <si>
    <t>Dancing with the Curse</t>
  </si>
  <si>
    <t>Pepperspray</t>
  </si>
  <si>
    <t>42mkE3wbofBNickLHgdVlo</t>
  </si>
  <si>
    <t>Stickup</t>
  </si>
  <si>
    <t>3Re0unscFRNOkwwEGtxhCO</t>
  </si>
  <si>
    <t>Grace George</t>
  </si>
  <si>
    <t>Heaven (Acoustic)</t>
  </si>
  <si>
    <t>Heaven - Acoustic</t>
  </si>
  <si>
    <t>4H7MpMZ4p3Cc06B11bcgL7</t>
  </si>
  <si>
    <t>Jack Savoretti</t>
  </si>
  <si>
    <t>Days Gone (Original Soundtrack)</t>
  </si>
  <si>
    <t>Soldier's Eyes</t>
  </si>
  <si>
    <t>8.2e-06</t>
  </si>
  <si>
    <t>7AKxbxzkxm2ERWrd1ggniO</t>
  </si>
  <si>
    <t>Asleep Among Endives</t>
  </si>
  <si>
    <t>6JAXWoK53LV3hYARf4TzzP</t>
  </si>
  <si>
    <t>Symphony</t>
  </si>
  <si>
    <t>Symphony - Acoustic</t>
  </si>
  <si>
    <t>7zCuUs0JXXPIH7GA8tWwii</t>
  </si>
  <si>
    <t>When I Was Your Man</t>
  </si>
  <si>
    <t>5LuSu8fS8PGCH88EDPLYcy</t>
  </si>
  <si>
    <t>Save Your Tears (Acoustic)</t>
  </si>
  <si>
    <t>Save Your Tears - Acoustic</t>
  </si>
  <si>
    <t>1.47e-06</t>
  </si>
  <si>
    <t>4nmjL1mUKOAfAbo9QG9tSE</t>
  </si>
  <si>
    <t>POP VIRUS</t>
  </si>
  <si>
    <t>Koi</t>
  </si>
  <si>
    <t>4A6GiKusHlmrtqCyKAyPg2</t>
  </si>
  <si>
    <t>Richard Walters</t>
  </si>
  <si>
    <t>A.M.</t>
  </si>
  <si>
    <t>July Bones</t>
  </si>
  <si>
    <t>6y4PDihMDJdFRjhunzpJ6s</t>
  </si>
  <si>
    <t>Kaiak;Viktoria Tolstoy</t>
  </si>
  <si>
    <t>Autumn Breeze</t>
  </si>
  <si>
    <t>45SbQo5bq8f0hNdB70IyFC</t>
  </si>
  <si>
    <t>Save Your Tears</t>
  </si>
  <si>
    <t>4l2fpkIEUWv7G9DNp9M2nr</t>
  </si>
  <si>
    <t>Bailey Rushlow</t>
  </si>
  <si>
    <t>You're Still The One (Acoustic)</t>
  </si>
  <si>
    <t>You're Still The One - Acoustic</t>
  </si>
  <si>
    <t>1wflx5YklLYToaIbXkrZSq</t>
  </si>
  <si>
    <t>Somebody Loved</t>
  </si>
  <si>
    <t>0RRZxVYjfY3jWT4XiYAW7k</t>
  </si>
  <si>
    <t>6f9qzNP6elRi8i2NgqGoE5</t>
  </si>
  <si>
    <t>Bohemian Rhapsody (Acoustic)</t>
  </si>
  <si>
    <t>Bohemian Rhapsody - Acoustic</t>
  </si>
  <si>
    <t>1.06e-06</t>
  </si>
  <si>
    <t>39dhIbeOy13KQlVlLM0m8G</t>
  </si>
  <si>
    <t>As It Was (Acoustic)</t>
  </si>
  <si>
    <t>As It Was - Acoustic</t>
  </si>
  <si>
    <t>3m0jiOJfxIqGGsRKMOA2uQ</t>
  </si>
  <si>
    <t>Wish List</t>
  </si>
  <si>
    <t>6.04e-06</t>
  </si>
  <si>
    <t>6IiFTtc2ipIXW5HzwFzOjh</t>
  </si>
  <si>
    <t>Beautiful Disaster</t>
  </si>
  <si>
    <t>4.47e-05</t>
  </si>
  <si>
    <t>2JI53ZVCxMucM68UpCtZ5C</t>
  </si>
  <si>
    <t>Wayne Mack</t>
  </si>
  <si>
    <t>Fake a smile</t>
  </si>
  <si>
    <t>5NqGfELjcdvRIUuhgZJ34W</t>
  </si>
  <si>
    <t>Aimyon</t>
  </si>
  <si>
    <t>Momentary Sixth Sense</t>
  </si>
  <si>
    <t>0Bv0qHGKNiwzDtHzXrjmIn</t>
  </si>
  <si>
    <t>Sungha Jung</t>
  </si>
  <si>
    <t>Irony</t>
  </si>
  <si>
    <t>River Flows In You</t>
  </si>
  <si>
    <t>7z2DKGAsPPdxOwTzMaVYD4</t>
  </si>
  <si>
    <t>Tamio Okuda</t>
  </si>
  <si>
    <t>Bullet Train (Original Motion Picture Soundtrack)</t>
  </si>
  <si>
    <t>Kill Me Pretty</t>
  </si>
  <si>
    <t>2XW4AAjfBQTzp7Oe1tU702</t>
  </si>
  <si>
    <t>No Matter Where You Are</t>
  </si>
  <si>
    <t>7Afr3PKTtlFGHGiXYgnv6P</t>
  </si>
  <si>
    <t>The Walking in Between</t>
  </si>
  <si>
    <t>I Like You</t>
  </si>
  <si>
    <t>3.27e-06</t>
  </si>
  <si>
    <t>5CijCh8uOTWZO9DQpYwAXw</t>
  </si>
  <si>
    <t>The Mess I Made</t>
  </si>
  <si>
    <t>6xAjAocTRpKamQlCy50RRQ</t>
  </si>
  <si>
    <t>Zee Avi</t>
  </si>
  <si>
    <t>Zee Avi's Nightlight</t>
  </si>
  <si>
    <t>0voYwjeuMfvXlF76oesZKu</t>
  </si>
  <si>
    <t>Joshua Radin</t>
  </si>
  <si>
    <t>Here, Right Now</t>
  </si>
  <si>
    <t>6xMm545wcSYbhNFB2Jr2EP</t>
  </si>
  <si>
    <t>Wonderful Tonight</t>
  </si>
  <si>
    <t>1.71e-06</t>
  </si>
  <si>
    <t>7pq5vONxrAy8T773nhkiW3</t>
  </si>
  <si>
    <t>Salvation</t>
  </si>
  <si>
    <t>2dS2710jYUM8gE2V1KC3uG</t>
  </si>
  <si>
    <t>Twenty Something</t>
  </si>
  <si>
    <t>Wilderness</t>
  </si>
  <si>
    <t>2jcdviEbZPIpwM10JBQNYc</t>
  </si>
  <si>
    <t>Calling</t>
  </si>
  <si>
    <t>æ‹äºº (Original Version)</t>
  </si>
  <si>
    <t>6wVxhM5GJiZCro0xPWox6g</t>
  </si>
  <si>
    <t>Bailey Pelkman;Randy Rektor</t>
  </si>
  <si>
    <t>Acoustic Duets</t>
  </si>
  <si>
    <t>I Just Called To Say I Love You</t>
  </si>
  <si>
    <t>7oyFihJppZYPP7o0NfoHnZ</t>
  </si>
  <si>
    <t>Particles</t>
  </si>
  <si>
    <t>Fall on Me</t>
  </si>
  <si>
    <t>2a0WwSvmFdXPTdDMilPA1y</t>
  </si>
  <si>
    <t>Shadows Collide With People</t>
  </si>
  <si>
    <t>Song To Sing When I'm Lonely</t>
  </si>
  <si>
    <t>0vxlqUrmgsiyAWOHaAfnSK</t>
  </si>
  <si>
    <t>Daylight</t>
  </si>
  <si>
    <t>3.79e-06</t>
  </si>
  <si>
    <t>78ylzQxu8Ht3gbFq5hI9Vo</t>
  </si>
  <si>
    <t>Tres Hermanas</t>
  </si>
  <si>
    <t>Have Yourself a Merry Little Christmas</t>
  </si>
  <si>
    <t>2.85e-05</t>
  </si>
  <si>
    <t>1BZnc6VaggPnrQyjem5Dpf</t>
  </si>
  <si>
    <t>Message/ä»Š ã“ã®ã²ã¨ã¨ããŒ é ã„å¤¢ã®ã‚ˆã†ã«</t>
  </si>
  <si>
    <t>Message (Original Version)</t>
  </si>
  <si>
    <t>3.97e-06</t>
  </si>
  <si>
    <t>2K3jLUSLeHrPMA3nKvP1jT</t>
  </si>
  <si>
    <t>Matt Johnson</t>
  </si>
  <si>
    <t>Acoustic Hits, Vol. 3</t>
  </si>
  <si>
    <t>Beautiful In White</t>
  </si>
  <si>
    <t>674WNL7f5Xo8XxtipzB3ao</t>
  </si>
  <si>
    <t>#Acoustic #2</t>
  </si>
  <si>
    <t>Heaven Is a Place on Earth</t>
  </si>
  <si>
    <t>1.6e-06</t>
  </si>
  <si>
    <t>73Nw51XTNstlk3Wu1K26cB</t>
  </si>
  <si>
    <t>Passenger Seat (Acoustic)</t>
  </si>
  <si>
    <t>1.59e-05</t>
  </si>
  <si>
    <t>5OWl1kO0gRlPxmp1wFyIWZ</t>
  </si>
  <si>
    <t>Guaranteed - Humming Version</t>
  </si>
  <si>
    <t>5QjuTblPokfD03fkfHUuVK</t>
  </si>
  <si>
    <t>Dave Van Ronk</t>
  </si>
  <si>
    <t>Folksinger</t>
  </si>
  <si>
    <t>Hang Me, Oh Hang Me</t>
  </si>
  <si>
    <t>1.1e-05</t>
  </si>
  <si>
    <t>2oLaalXlOgiJ70CaI992BA</t>
  </si>
  <si>
    <t>John Frusciante;Josh Klinghoffer</t>
  </si>
  <si>
    <t>A Sphere in the Heart of Silence</t>
  </si>
  <si>
    <t>The Afterglow</t>
  </si>
  <si>
    <t>0rQ146AWbwiDC1DheKXJxm</t>
  </si>
  <si>
    <t>West Coast vs. Wessex</t>
  </si>
  <si>
    <t>Eat the Meek</t>
  </si>
  <si>
    <t>2.45e-05</t>
  </si>
  <si>
    <t>5ZUObJNpVt2l9GogUSfALc</t>
  </si>
  <si>
    <t>The Trouble with Wanting</t>
  </si>
  <si>
    <t>1jyddn36UN4tVsJGtaJfem</t>
  </si>
  <si>
    <t>Gossip In The Grain</t>
  </si>
  <si>
    <t>You Are the Best Thing</t>
  </si>
  <si>
    <t>1.99e-05</t>
  </si>
  <si>
    <t>73JI06Eznb1N22KHpo3HL7</t>
  </si>
  <si>
    <t>Bacchanal 'N' Philadelphia</t>
  </si>
  <si>
    <t>Boycott Me!</t>
  </si>
  <si>
    <t>0YG5wOXVpvNUyPihvr1zsa</t>
  </si>
  <si>
    <t>Days N Daze;Freddie Boatright</t>
  </si>
  <si>
    <t>Crustfall</t>
  </si>
  <si>
    <t>To Risk to Live</t>
  </si>
  <si>
    <t>6.44e-06</t>
  </si>
  <si>
    <t>0wKt65XM5Wit3QH7lZtESU</t>
  </si>
  <si>
    <t>Unholy Hymns</t>
  </si>
  <si>
    <t>The Legend of Olog-hai, Pt. 1</t>
  </si>
  <si>
    <t>6339iq4yAm87arKgnNc922</t>
  </si>
  <si>
    <t>No Christmas For Me</t>
  </si>
  <si>
    <t>6mFsYlDjG2Esy5hXhNy78t</t>
  </si>
  <si>
    <t>This One's for Johnny</t>
  </si>
  <si>
    <t>7c0YUDcJreOv1OoBGf1KdH</t>
  </si>
  <si>
    <t>Graveyard</t>
  </si>
  <si>
    <t>Graveyard - Acoustic</t>
  </si>
  <si>
    <t>3V0NxWbbUTa3BUAnchm11i</t>
  </si>
  <si>
    <t>amuletum bouquet</t>
  </si>
  <si>
    <t>bouquet</t>
  </si>
  <si>
    <t>3c8k1iPo45JM4fKvIfumwh</t>
  </si>
  <si>
    <t>Highlights from Aoi Works II</t>
  </si>
  <si>
    <t>ã“ã“ã‚ã‚’ã“ã‚ã¦</t>
  </si>
  <si>
    <t>5oDDFjWMz0KiMmRzWSFfQ6</t>
  </si>
  <si>
    <t>AcousticTrench</t>
  </si>
  <si>
    <t>5TIXBnwtMYwgC9yc1QjFp7</t>
  </si>
  <si>
    <t>4GiLKZ6Fd3d5UMJMGuzAA0</t>
  </si>
  <si>
    <t>American Wedding</t>
  </si>
  <si>
    <t>Laid</t>
  </si>
  <si>
    <t>6.61e-05</t>
  </si>
  <si>
    <t>6cYx8rBh13laBDAzvD7VrH</t>
  </si>
  <si>
    <t>Lee DeWyze</t>
  </si>
  <si>
    <t>Oil &amp; Water</t>
  </si>
  <si>
    <t>Same For You</t>
  </si>
  <si>
    <t>1jUyxF7NmNXGlZQDVw40O8</t>
  </si>
  <si>
    <t>Clementine Duo</t>
  </si>
  <si>
    <t>2U (Acoustic Version)</t>
  </si>
  <si>
    <t>2U - Acoustic Version</t>
  </si>
  <si>
    <t>4G8wt3fUBpgBjI35TBF2eQ</t>
  </si>
  <si>
    <t>Elephants...Teeth Sinking Into Heart (Standard Version)</t>
  </si>
  <si>
    <t>Duet</t>
  </si>
  <si>
    <t>4eSOx2FzrVXpKmtssY59LB</t>
  </si>
  <si>
    <t>Brandon Chase</t>
  </si>
  <si>
    <t>I'll Say I Do</t>
  </si>
  <si>
    <t>3.6e-06</t>
  </si>
  <si>
    <t>0YhsOegsemgmT7ZHdWheUy</t>
  </si>
  <si>
    <t>Anyone</t>
  </si>
  <si>
    <t>1WSF2SjtfkV8LjTlF8uCZH</t>
  </si>
  <si>
    <t>Start of Time</t>
  </si>
  <si>
    <t>6pTZ8Oy1xGKGCE4saVScoy</t>
  </si>
  <si>
    <t>In The Mood For Love</t>
  </si>
  <si>
    <t>4efRaNW2VgDf3pjbm8y4tr</t>
  </si>
  <si>
    <t>Heat Waves</t>
  </si>
  <si>
    <t>4khjcb6Mpegp1N596VVyf6</t>
  </si>
  <si>
    <t>There She Goes</t>
  </si>
  <si>
    <t>1WiVvolTPvAsVOd64HZi4X</t>
  </si>
  <si>
    <t>Wells</t>
  </si>
  <si>
    <t>1YnLthg0HOs8YTzgN5hVh2</t>
  </si>
  <si>
    <t>God Only Knows</t>
  </si>
  <si>
    <t>0N7UyDRbyHe2L63ilYDcRK</t>
  </si>
  <si>
    <t>Afterglow</t>
  </si>
  <si>
    <t>5EndcDV7pcbLO4jE2GBZwC</t>
  </si>
  <si>
    <t>Montage Of Heck: The Home Recordings (Deluxe Soundtrack)</t>
  </si>
  <si>
    <t>Burn The Rain</t>
  </si>
  <si>
    <t>0MjXRAftpVBuNGYsNV1obJ</t>
  </si>
  <si>
    <t>Just Love</t>
  </si>
  <si>
    <t>Already Mine</t>
  </si>
  <si>
    <t>6.15e-05</t>
  </si>
  <si>
    <t>2O16qeSdWeec3Kte6TKW9p</t>
  </si>
  <si>
    <t>ã‚ªã‚¢ã‚·ã‚¹</t>
  </si>
  <si>
    <t>ãã¿ã¯ã¼ãã®ã¨ã‚‚ã ã¡</t>
  </si>
  <si>
    <t>1W5j84OLhShyEIJEwaLzaU</t>
  </si>
  <si>
    <t>Never Be the Same</t>
  </si>
  <si>
    <t>3KAQ4xe2sR6IiltZw8HSA5</t>
  </si>
  <si>
    <t>Austin Basham</t>
  </si>
  <si>
    <t>You and Me for Now</t>
  </si>
  <si>
    <t>All Is Well</t>
  </si>
  <si>
    <t>60wxK3idlzc3lykP8cYZ2l</t>
  </si>
  <si>
    <t>My Mistake</t>
  </si>
  <si>
    <t>2O7FC4XbIrJ6Ib8bsq0FYC</t>
  </si>
  <si>
    <t>Us</t>
  </si>
  <si>
    <t>Near Or Far</t>
  </si>
  <si>
    <t>1CYBnHYYbOAsuDCGa0zrw0</t>
  </si>
  <si>
    <t>Without a Light</t>
  </si>
  <si>
    <t>1ytsxlw6P6gsCc3RrYweyj</t>
  </si>
  <si>
    <t>Lonely With Me</t>
  </si>
  <si>
    <t>37bc0lXXN8Udi7IPwL58Hn</t>
  </si>
  <si>
    <t>Boyce Avenue;Megan Davies;Jaclyn Davies</t>
  </si>
  <si>
    <t>Time After Time</t>
  </si>
  <si>
    <t>5IGYPdHMSG4PLXDS9LDPJS</t>
  </si>
  <si>
    <t>Eastmountainsouth</t>
  </si>
  <si>
    <t>So Are You To Me</t>
  </si>
  <si>
    <t>9.88e-05</t>
  </si>
  <si>
    <t>53iFMaNUXn6Oj8hUIKSO5a</t>
  </si>
  <si>
    <t>Peter Bradley Adams</t>
  </si>
  <si>
    <t>A Face Like Mine</t>
  </si>
  <si>
    <t>My Arms Were Always Around You</t>
  </si>
  <si>
    <t>68KCwQ2PNKNT17sEx32DEG</t>
  </si>
  <si>
    <t>Dance Me to the End of Love - Bonus</t>
  </si>
  <si>
    <t>2.46e-06</t>
  </si>
  <si>
    <t>27wq82gy6a868oA5HNLRGv</t>
  </si>
  <si>
    <t>Photographs</t>
  </si>
  <si>
    <t>24M6MHeugm1sHHNzCP5eV4</t>
  </si>
  <si>
    <t>Suy Galvez</t>
  </si>
  <si>
    <t>Bossa Best</t>
  </si>
  <si>
    <t>Baby Now That I Found You</t>
  </si>
  <si>
    <t>5DZVpQguB5TGP3MdkN3JSP</t>
  </si>
  <si>
    <t>Right Here Waiting</t>
  </si>
  <si>
    <t>5.33e-06</t>
  </si>
  <si>
    <t>2HUZVffVPXvqnrml0gXggp</t>
  </si>
  <si>
    <t>Howlin' Wolf</t>
  </si>
  <si>
    <t>Moanin' In The Moonlight</t>
  </si>
  <si>
    <t>Smokestack Lightnin'</t>
  </si>
  <si>
    <t>2PTzfXh5Ut3hjRrWGyafz6</t>
  </si>
  <si>
    <t>3.29e-06</t>
  </si>
  <si>
    <t>5MTsZG10E0hTvAkdioyPnw</t>
  </si>
  <si>
    <t>Buddy Guy;Bonnie Raitt</t>
  </si>
  <si>
    <t>Feels Like Rain</t>
  </si>
  <si>
    <t>Feels Like Rain (feat. Bonnie Raitt)</t>
  </si>
  <si>
    <t>2AN3wNGUW0IgzfuurtVEDS</t>
  </si>
  <si>
    <t>Mance Lipscomb</t>
  </si>
  <si>
    <t>The Best of Mance Lipscomb</t>
  </si>
  <si>
    <t>Sugar Babe</t>
  </si>
  <si>
    <t>7jIAttgQTpLDoNtykIQXjH</t>
  </si>
  <si>
    <t>Violent Femmes</t>
  </si>
  <si>
    <t>Blister In The Sun</t>
  </si>
  <si>
    <t>353rT3h7ABEWWBe6Hr7EZD</t>
  </si>
  <si>
    <t>The Oogle Deathmachine</t>
  </si>
  <si>
    <t>Little Blue Pills, Pt. 2</t>
  </si>
  <si>
    <t>0GgFpUEQzr5RuDZC768g0k</t>
  </si>
  <si>
    <t>Drei Rana;Selena Marie</t>
  </si>
  <si>
    <t>Paano Ang Simbang Gabi (Kung 'Di Ka Katabi)</t>
  </si>
  <si>
    <t>Paano Ang Simbang Gabi - Kung 'Di Ka Katabi</t>
  </si>
  <si>
    <t>5hhhrZMKz1NEZM7jRWufbf</t>
  </si>
  <si>
    <t>Bob</t>
  </si>
  <si>
    <t>4zESVuAPxaC9bqQKjiWgH6</t>
  </si>
  <si>
    <t>Harley Poe</t>
  </si>
  <si>
    <t>Have a Great Life.</t>
  </si>
  <si>
    <t>Psycho</t>
  </si>
  <si>
    <t>7EcFRiCKqijYsuA5UbNnQZ</t>
  </si>
  <si>
    <t>Perfect Government</t>
  </si>
  <si>
    <t>6.15e-06</t>
  </si>
  <si>
    <t>4WbTMyywJtvUNhmVKa0oSM</t>
  </si>
  <si>
    <t>The Fear</t>
  </si>
  <si>
    <t>0R7EWhquaAICmyE5MZqt3q</t>
  </si>
  <si>
    <t>The Joy of Music</t>
  </si>
  <si>
    <t>Living My Best Life</t>
  </si>
  <si>
    <t>1.55e-06</t>
  </si>
  <si>
    <t>5u2HaXFymnYNePtwI5bU3t</t>
  </si>
  <si>
    <t>FTHC (Deluxe)</t>
  </si>
  <si>
    <t>Haven't Been Doing So Well</t>
  </si>
  <si>
    <t>79keCNa2NAa4xMInUQCATJ</t>
  </si>
  <si>
    <t>The Legend of Olog-hai, Pt. 2</t>
  </si>
  <si>
    <t>61X73CJcpwGIxgQgKEXbw0</t>
  </si>
  <si>
    <t>In These Silent Days</t>
  </si>
  <si>
    <t>You and Me On The Rock (feat. Lucius)</t>
  </si>
  <si>
    <t>track_id</t>
  </si>
  <si>
    <t>artists</t>
  </si>
  <si>
    <t>album_name</t>
  </si>
  <si>
    <t>track_name</t>
  </si>
  <si>
    <t>popularity</t>
  </si>
  <si>
    <t>duration_ms</t>
  </si>
  <si>
    <t>explicit</t>
  </si>
  <si>
    <t>danceability</t>
  </si>
  <si>
    <t>energy</t>
  </si>
  <si>
    <t>key</t>
  </si>
  <si>
    <t>loudness</t>
  </si>
  <si>
    <t>mode</t>
  </si>
  <si>
    <t>speechiness</t>
  </si>
  <si>
    <t>acousticness</t>
  </si>
  <si>
    <t>instrumentalness</t>
  </si>
  <si>
    <t>liveness</t>
  </si>
  <si>
    <t>valence</t>
  </si>
  <si>
    <t>tempo</t>
  </si>
  <si>
    <t>time_signature</t>
  </si>
  <si>
    <t>track_genre</t>
  </si>
  <si>
    <t>Column</t>
  </si>
  <si>
    <t>Missing Count</t>
  </si>
  <si>
    <t>duration_min</t>
  </si>
  <si>
    <t>popularity_level</t>
  </si>
  <si>
    <t>content_type</t>
  </si>
  <si>
    <t>energy_level</t>
  </si>
  <si>
    <t xml:space="preserve"> dance_type</t>
  </si>
  <si>
    <t>Row Labels</t>
  </si>
  <si>
    <t>Grand Total</t>
  </si>
  <si>
    <t>Average of popularity</t>
  </si>
  <si>
    <t>Clean</t>
  </si>
  <si>
    <t>Count of track_id</t>
  </si>
  <si>
    <t>KPI</t>
  </si>
  <si>
    <t>Total Tracks</t>
  </si>
  <si>
    <t>Avg Popularity</t>
  </si>
  <si>
    <t>Avg Duration</t>
  </si>
  <si>
    <t>Total Artists</t>
  </si>
  <si>
    <t>SPOTIFY MUSIC ANALYTICS DASHBOARD</t>
  </si>
  <si>
    <t xml:space="preserve"> Values</t>
  </si>
  <si>
    <t xml:space="preserve">Avg Popularity </t>
  </si>
  <si>
    <t>• High-energy tracks tend to maintain higher popularity.</t>
  </si>
  <si>
    <t>• Clean songs dominate this dataset sample.</t>
  </si>
  <si>
    <t>• Top artists consistently score above average popularity.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</si>
</sst>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4"/>
      <color theme="1"/>
      <name val="Aptos Narrow"/>
      <family val="2"/>
      <scheme val="minor"/>
    </font>
    <font>
      <sz val="16"/>
      <color theme="1"/>
      <name val="Aptos Narrow"/>
      <family val="2"/>
      <scheme val="minor"/>
    </font>
    <font>
      <b/>
      <sz val="20"/>
      <color theme="0"/>
      <name val="Aptos Narrow"/>
      <family val="2"/>
      <scheme val="minor"/>
    </font>
    <font>
      <b/>
      <sz val="24"/>
      <color theme="0"/>
      <name val="Aptos Display"/>
      <family val="2"/>
    </font>
    <font>
      <b/>
      <sz val="22"/>
      <color rgb="FF002060"/>
      <name val="Aptos Narrow"/>
      <family val="2"/>
      <scheme val="minor"/>
    </font>
    <font>
      <b/>
      <sz val="48"/>
      <color theme="0"/>
      <name val="Aptos Display"/>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theme="3"/>
        <bgColor indexed="64"/>
      </patternFill>
    </fill>
    <fill>
      <patternFill patternType="solid">
        <fgColor theme="6" tint="-0.249977111117893"/>
        <bgColor indexed="64"/>
      </patternFill>
    </fill>
    <fill>
      <patternFill patternType="solid">
        <fgColor theme="1" tint="0.34998626667073579"/>
        <bgColor indexed="64"/>
      </patternFill>
    </fill>
  </fills>
  <borders count="1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medium">
        <color theme="1"/>
      </bottom>
      <diagonal/>
    </border>
    <border>
      <left/>
      <right/>
      <top style="medium">
        <color theme="1"/>
      </top>
      <bottom/>
      <diagonal/>
    </border>
    <border>
      <left/>
      <right/>
      <top style="thin">
        <color indexed="64"/>
      </top>
      <bottom/>
      <diagonal/>
    </border>
    <border>
      <left/>
      <right/>
      <top/>
      <bottom style="double">
        <color indexed="64"/>
      </bottom>
      <diagonal/>
    </border>
    <border>
      <left style="thin">
        <color indexed="64"/>
      </left>
      <right/>
      <top style="thin">
        <color indexed="64"/>
      </top>
      <bottom/>
      <diagonal/>
    </border>
    <border>
      <left style="thin">
        <color indexed="64"/>
      </left>
      <right/>
      <top/>
      <bottom style="double">
        <color indexed="64"/>
      </bottom>
      <diagonal/>
    </border>
    <border>
      <left/>
      <right style="thin">
        <color indexed="64"/>
      </right>
      <top style="thin">
        <color indexed="64"/>
      </top>
      <bottom/>
      <diagonal/>
    </border>
    <border>
      <left/>
      <right style="thin">
        <color indexed="64"/>
      </right>
      <top/>
      <bottom style="double">
        <color indexed="64"/>
      </bottom>
      <diagonal/>
    </border>
  </borders>
  <cellStyleXfs count="1">
    <xf numFmtId="0" fontId="0" fillId="0" borderId="0"/>
  </cellStyleXfs>
  <cellXfs count="52">
    <xf numFmtId="0" fontId="0" fillId="0" borderId="0" xfId="0"/>
    <xf numFmtId="0" fontId="0" fillId="2" borderId="1" xfId="0" applyFill="1" applyBorder="1"/>
    <xf numFmtId="0" fontId="0" fillId="2" borderId="2" xfId="0" applyFill="1" applyBorder="1"/>
    <xf numFmtId="0" fontId="0" fillId="2" borderId="2" xfId="0" quotePrefix="1" applyFill="1" applyBorder="1"/>
    <xf numFmtId="0" fontId="0" fillId="2" borderId="3" xfId="0" applyFill="1" applyBorder="1"/>
    <xf numFmtId="0" fontId="0" fillId="0" borderId="1" xfId="0" applyBorder="1"/>
    <xf numFmtId="0" fontId="0" fillId="0" borderId="2" xfId="0" applyBorder="1"/>
    <xf numFmtId="0" fontId="0" fillId="0" borderId="2" xfId="0" quotePrefix="1" applyBorder="1"/>
    <xf numFmtId="0" fontId="0" fillId="0" borderId="3" xfId="0" applyBorder="1"/>
    <xf numFmtId="0" fontId="0" fillId="0" borderId="0" xfId="0" quotePrefix="1"/>
    <xf numFmtId="20" fontId="0" fillId="0" borderId="0" xfId="0" applyNumberFormat="1"/>
    <xf numFmtId="0" fontId="0" fillId="2" borderId="4" xfId="0" applyFill="1" applyBorder="1"/>
    <xf numFmtId="0" fontId="0" fillId="2" borderId="5" xfId="0" applyFill="1" applyBorder="1"/>
    <xf numFmtId="0" fontId="0" fillId="2" borderId="6" xfId="0" applyFill="1" applyBorder="1"/>
    <xf numFmtId="0" fontId="0" fillId="2" borderId="1" xfId="0" applyFont="1" applyFill="1" applyBorder="1"/>
    <xf numFmtId="0" fontId="0" fillId="2" borderId="2" xfId="0" applyFont="1" applyFill="1" applyBorder="1"/>
    <xf numFmtId="0" fontId="0" fillId="2" borderId="3" xfId="0" applyFont="1" applyFill="1" applyBorder="1"/>
    <xf numFmtId="0" fontId="0" fillId="0" borderId="1" xfId="0" applyFont="1" applyBorder="1"/>
    <xf numFmtId="0" fontId="0" fillId="0" borderId="2" xfId="0" applyFont="1" applyBorder="1"/>
    <xf numFmtId="0" fontId="0" fillId="0" borderId="3" xfId="0" applyFont="1" applyBorder="1"/>
    <xf numFmtId="0" fontId="0" fillId="2" borderId="2" xfId="0" quotePrefix="1" applyFont="1" applyFill="1" applyBorder="1"/>
    <xf numFmtId="0" fontId="0" fillId="0" borderId="2" xfId="0" quotePrefix="1" applyFont="1" applyBorder="1"/>
    <xf numFmtId="20" fontId="0" fillId="2" borderId="2" xfId="0" applyNumberFormat="1" applyFont="1" applyFill="1" applyBorder="1"/>
    <xf numFmtId="0" fontId="0" fillId="2" borderId="7" xfId="0" applyFont="1" applyFill="1" applyBorder="1"/>
    <xf numFmtId="0" fontId="0" fillId="2" borderId="8" xfId="0" applyFont="1" applyFill="1" applyBorder="1"/>
    <xf numFmtId="0" fontId="0" fillId="2" borderId="8" xfId="0" quotePrefix="1" applyFont="1" applyFill="1" applyBorder="1"/>
    <xf numFmtId="0" fontId="0" fillId="2" borderId="9" xfId="0" applyFont="1" applyFill="1" applyBorder="1"/>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2" fontId="0" fillId="2" borderId="2" xfId="0" applyNumberFormat="1" applyFont="1" applyFill="1" applyBorder="1"/>
    <xf numFmtId="0" fontId="0" fillId="2" borderId="2" xfId="0" applyNumberFormat="1" applyFont="1" applyFill="1" applyBorder="1"/>
    <xf numFmtId="0" fontId="3" fillId="0" borderId="0" xfId="0" pivotButton="1" applyFont="1"/>
    <xf numFmtId="0" fontId="3" fillId="0" borderId="0" xfId="0" applyFont="1"/>
    <xf numFmtId="0" fontId="3" fillId="0" borderId="0" xfId="0" applyFont="1" applyAlignment="1">
      <alignment horizontal="left"/>
    </xf>
    <xf numFmtId="0" fontId="3" fillId="0" borderId="0" xfId="0" applyNumberFormat="1" applyFont="1"/>
    <xf numFmtId="0" fontId="4" fillId="3" borderId="11" xfId="0" applyFont="1" applyFill="1" applyBorder="1" applyAlignment="1">
      <alignment horizontal="center" vertical="center" wrapText="1"/>
    </xf>
    <xf numFmtId="0" fontId="4" fillId="3" borderId="11" xfId="0" applyFont="1" applyFill="1" applyBorder="1" applyAlignment="1">
      <alignment vertical="center" wrapText="1"/>
    </xf>
    <xf numFmtId="0" fontId="4" fillId="3" borderId="0" xfId="0" applyFont="1" applyFill="1" applyAlignment="1">
      <alignment vertical="center" wrapText="1"/>
    </xf>
    <xf numFmtId="0" fontId="4" fillId="3" borderId="10" xfId="0" applyFont="1" applyFill="1" applyBorder="1" applyAlignment="1">
      <alignment vertical="center" wrapText="1"/>
    </xf>
    <xf numFmtId="0" fontId="0" fillId="5" borderId="0" xfId="0" applyFill="1"/>
    <xf numFmtId="0" fontId="5" fillId="5" borderId="0" xfId="0" applyFont="1" applyFill="1" applyAlignment="1"/>
    <xf numFmtId="0" fontId="0" fillId="5" borderId="0" xfId="0" applyFill="1" applyAlignment="1">
      <alignment horizontal="center"/>
    </xf>
    <xf numFmtId="0" fontId="2" fillId="4" borderId="14" xfId="0" applyFont="1" applyFill="1" applyBorder="1" applyAlignment="1">
      <alignment horizontal="center"/>
    </xf>
    <xf numFmtId="0" fontId="2" fillId="4" borderId="12" xfId="0" applyFont="1" applyFill="1" applyBorder="1" applyAlignment="1">
      <alignment horizontal="center"/>
    </xf>
    <xf numFmtId="0" fontId="2" fillId="4" borderId="16" xfId="0" applyFont="1" applyFill="1" applyBorder="1" applyAlignment="1">
      <alignment horizontal="center"/>
    </xf>
    <xf numFmtId="0" fontId="2" fillId="4" borderId="15" xfId="0" applyFont="1" applyFill="1" applyBorder="1" applyAlignment="1">
      <alignment horizontal="center"/>
    </xf>
    <xf numFmtId="0" fontId="2" fillId="4" borderId="13" xfId="0" applyFont="1" applyFill="1" applyBorder="1" applyAlignment="1">
      <alignment horizontal="center"/>
    </xf>
    <xf numFmtId="0" fontId="2" fillId="4" borderId="17" xfId="0" applyFont="1" applyFill="1" applyBorder="1" applyAlignment="1">
      <alignment horizontal="center"/>
    </xf>
    <xf numFmtId="0" fontId="0" fillId="5" borderId="0" xfId="0" applyFill="1" applyBorder="1"/>
    <xf numFmtId="0" fontId="6" fillId="5" borderId="0" xfId="0" applyFont="1" applyFill="1"/>
    <xf numFmtId="0" fontId="7" fillId="5" borderId="0" xfId="0" applyFont="1" applyFill="1" applyAlignment="1"/>
  </cellXfs>
  <cellStyles count="1">
    <cellStyle name="Normal" xfId="0" builtinId="0"/>
  </cellStyles>
  <dxfs count="124">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border outline="0">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[spotify-music-analytics-dashboard.xlsx]Pivot_Analysis!PivotTable4</c:name>
    <c:fmtId val="16"/>
  </c:pivotSource>
  <c:chart>
    <c:title>
      <c:tx>
        <c:rich>
          <a:bodyPr rot="0" spcFirstLastPara="1" vertOverflow="ellipsis" vert="horz" wrap="square" anchor="ctr" anchorCtr="1"/>
          <a:lstStyle/>
          <a:p>
            <a:pPr>
              <a:defRPr sz="1680" b="1" i="0" u="none" strike="noStrike" kern="1200" cap="all" spc="100" normalizeH="0" baseline="0">
                <a:solidFill>
                  <a:schemeClr val="lt1"/>
                </a:solidFill>
                <a:latin typeface="+mn-lt"/>
                <a:ea typeface="+mn-ea"/>
                <a:cs typeface="+mn-cs"/>
              </a:defRPr>
            </a:pPr>
            <a:r>
              <a:rPr lang="en-US"/>
              <a:t>Top 10 Artists by Popularity</a:t>
            </a:r>
          </a:p>
        </c:rich>
      </c:tx>
      <c:overlay val="0"/>
      <c:spPr>
        <a:noFill/>
        <a:ln>
          <a:noFill/>
        </a:ln>
        <a:effectLst/>
      </c:spPr>
      <c:txPr>
        <a:bodyPr rot="0" spcFirstLastPara="1" vertOverflow="ellipsis" vert="horz" wrap="square" anchor="ctr" anchorCtr="1"/>
        <a:lstStyle/>
        <a:p>
          <a:pPr>
            <a:defRPr sz="168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3"/>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c:f>
              <c:strCache>
                <c:ptCount val="1"/>
                <c:pt idx="0">
                  <c:v>Total</c:v>
                </c:pt>
              </c:strCache>
            </c:strRef>
          </c:tx>
          <c:spPr>
            <a:pattFill prst="ltUpDiag">
              <a:fgClr>
                <a:schemeClr val="accent3"/>
              </a:fgClr>
              <a:bgClr>
                <a:schemeClr val="lt1"/>
              </a:bgClr>
            </a:pattFill>
            <a:ln>
              <a:noFill/>
            </a:ln>
            <a:effectLst/>
          </c:spPr>
          <c:invertIfNegative val="0"/>
          <c:dLbls>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Pivot_Analysis!$A$4:$A$14</c:f>
              <c:strCache>
                <c:ptCount val="10"/>
                <c:pt idx="0">
                  <c:v>Gen Hoshino</c:v>
                </c:pt>
                <c:pt idx="1">
                  <c:v>KT Tunstall</c:v>
                </c:pt>
                <c:pt idx="2">
                  <c:v>A Great Big World;Christina Aguilera</c:v>
                </c:pt>
                <c:pt idx="3">
                  <c:v>Violent Femmes</c:v>
                </c:pt>
                <c:pt idx="4">
                  <c:v>Jason Mraz;Colbie Caillat</c:v>
                </c:pt>
                <c:pt idx="5">
                  <c:v>Matt Nathanson</c:v>
                </c:pt>
                <c:pt idx="6">
                  <c:v>Zack Tabudlo</c:v>
                </c:pt>
                <c:pt idx="7">
                  <c:v>Caleb Santos;Viva Music Publishing Inc.</c:v>
                </c:pt>
                <c:pt idx="8">
                  <c:v>Ron Pope</c:v>
                </c:pt>
                <c:pt idx="9">
                  <c:v>Sara Bareilles</c:v>
                </c:pt>
              </c:strCache>
            </c:strRef>
          </c:cat>
          <c:val>
            <c:numRef>
              <c:f>Pivot_Analysis!$B$4:$B$14</c:f>
              <c:numCache>
                <c:formatCode>General</c:formatCode>
                <c:ptCount val="10"/>
                <c:pt idx="0">
                  <c:v>73</c:v>
                </c:pt>
                <c:pt idx="1">
                  <c:v>73</c:v>
                </c:pt>
                <c:pt idx="2">
                  <c:v>72</c:v>
                </c:pt>
                <c:pt idx="3">
                  <c:v>71</c:v>
                </c:pt>
                <c:pt idx="4">
                  <c:v>71</c:v>
                </c:pt>
                <c:pt idx="5">
                  <c:v>71</c:v>
                </c:pt>
                <c:pt idx="6">
                  <c:v>69.125</c:v>
                </c:pt>
                <c:pt idx="7">
                  <c:v>68</c:v>
                </c:pt>
                <c:pt idx="8">
                  <c:v>68</c:v>
                </c:pt>
                <c:pt idx="9">
                  <c:v>68</c:v>
                </c:pt>
              </c:numCache>
            </c:numRef>
          </c:val>
          <c:extLst>
            <c:ext xmlns:c16="http://schemas.microsoft.com/office/drawing/2014/chart" uri="{C3380CC4-5D6E-409C-BE32-E72D297353CC}">
              <c16:uniqueId val="{00000000-8EAC-4323-95B7-3806E3C5351A}"/>
            </c:ext>
          </c:extLst>
        </c:ser>
        <c:dLbls>
          <c:dLblPos val="outEnd"/>
          <c:showLegendKey val="0"/>
          <c:showVal val="1"/>
          <c:showCatName val="0"/>
          <c:showSerName val="0"/>
          <c:showPercent val="0"/>
          <c:showBubbleSize val="0"/>
        </c:dLbls>
        <c:gapWidth val="269"/>
        <c:overlap val="-20"/>
        <c:axId val="1788667360"/>
        <c:axId val="1788656320"/>
      </c:barChart>
      <c:catAx>
        <c:axId val="1788667360"/>
        <c:scaling>
          <c:orientation val="minMax"/>
        </c:scaling>
        <c:delete val="0"/>
        <c:axPos val="l"/>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1400" b="0" i="0" u="none" strike="noStrike" kern="1200" cap="all" spc="150" normalizeH="0" baseline="0">
                <a:solidFill>
                  <a:schemeClr val="lt1"/>
                </a:solidFill>
                <a:latin typeface="+mn-lt"/>
                <a:ea typeface="+mn-ea"/>
                <a:cs typeface="+mn-cs"/>
              </a:defRPr>
            </a:pPr>
            <a:endParaRPr lang="en-US"/>
          </a:p>
        </c:txPr>
        <c:crossAx val="1788656320"/>
        <c:crosses val="autoZero"/>
        <c:auto val="1"/>
        <c:lblAlgn val="ctr"/>
        <c:lblOffset val="100"/>
        <c:noMultiLvlLbl val="0"/>
      </c:catAx>
      <c:valAx>
        <c:axId val="178865632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178866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Explicit vs Clean Tracks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pPr>
            <a:solidFill>
              <a:schemeClr val="accent1"/>
            </a:solidFill>
            <a:ln w="22225">
              <a:solidFill>
                <a:schemeClr val="lt1"/>
              </a:solidFill>
              <a:round/>
            </a:ln>
            <a:effectLst/>
          </c:spPr>
        </c:marker>
        <c:dLbl>
          <c:idx val="0"/>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411726350704255"/>
          <c:y val="0.23970489135724676"/>
          <c:w val="0.33485508232667682"/>
          <c:h val="0.64821784233569868"/>
        </c:manualLayout>
      </c:layout>
      <c:doughnutChart>
        <c:varyColors val="1"/>
        <c:ser>
          <c:idx val="0"/>
          <c:order val="0"/>
          <c:tx>
            <c:v>Total</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2930-4825-8EB1-382394F835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Lit>
              <c:ptCount val="1"/>
              <c:pt idx="0">
                <c:v>Clean</c:v>
              </c:pt>
            </c:strLit>
          </c:cat>
          <c:val>
            <c:numLit>
              <c:formatCode>General</c:formatCode>
              <c:ptCount val="1"/>
              <c:pt idx="0">
                <c:v>499</c:v>
              </c:pt>
            </c:numLit>
          </c:val>
          <c:extLst>
            <c:ext xmlns:c16="http://schemas.microsoft.com/office/drawing/2014/chart" uri="{C3380CC4-5D6E-409C-BE32-E72D297353CC}">
              <c16:uniqueId val="{00000002-2930-4825-8EB1-382394F83507}"/>
            </c:ext>
          </c:extLst>
        </c:ser>
        <c:dLbls>
          <c:showLegendKey val="0"/>
          <c:showVal val="0"/>
          <c:showCatName val="1"/>
          <c:showSerName val="0"/>
          <c:showPercent val="1"/>
          <c:showBubbleSize val="0"/>
          <c:showLeaderLines val="1"/>
        </c:dLbls>
        <c:firstSliceAng val="0"/>
        <c:holeSize val="50"/>
      </c:doughnut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[spotify-music-analytics-dashboard.xlsx]Pivot_Analysis!PivotTable4</c:name>
    <c:fmtId val="3"/>
  </c:pivotSource>
  <c:chart>
    <c:title>
      <c:tx>
        <c:rich>
          <a:bodyPr rot="0" spcFirstLastPara="1" vertOverflow="ellipsis" vert="horz" wrap="square" anchor="ctr" anchorCtr="1"/>
          <a:lstStyle/>
          <a:p>
            <a:pPr>
              <a:defRPr sz="1680" b="1" i="0" u="none" strike="noStrike" kern="1200" cap="all" spc="100" normalizeH="0" baseline="0">
                <a:solidFill>
                  <a:schemeClr val="lt1"/>
                </a:solidFill>
                <a:latin typeface="+mn-lt"/>
                <a:ea typeface="+mn-ea"/>
                <a:cs typeface="+mn-cs"/>
              </a:defRPr>
            </a:pPr>
            <a:r>
              <a:rPr lang="en-US"/>
              <a:t>Top 10 Artists by Popularity</a:t>
            </a:r>
          </a:p>
        </c:rich>
      </c:tx>
      <c:overlay val="0"/>
      <c:spPr>
        <a:noFill/>
        <a:ln>
          <a:noFill/>
        </a:ln>
        <a:effectLst/>
      </c:spPr>
      <c:txPr>
        <a:bodyPr rot="0" spcFirstLastPara="1" vertOverflow="ellipsis" vert="horz" wrap="square" anchor="ctr" anchorCtr="1"/>
        <a:lstStyle/>
        <a:p>
          <a:pPr>
            <a:defRPr sz="168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c:f>
              <c:strCache>
                <c:ptCount val="1"/>
                <c:pt idx="0">
                  <c:v>Total</c:v>
                </c:pt>
              </c:strCache>
            </c:strRef>
          </c:tx>
          <c:spPr>
            <a:pattFill prst="ltUpDiag">
              <a:fgClr>
                <a:schemeClr val="accent3"/>
              </a:fgClr>
              <a:bgClr>
                <a:schemeClr val="lt1"/>
              </a:bgClr>
            </a:pattFill>
            <a:ln>
              <a:noFill/>
            </a:ln>
            <a:effectLst/>
          </c:spPr>
          <c:invertIfNegative val="0"/>
          <c:dLbls>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Pivot_Analysis!$A$4:$A$14</c:f>
              <c:strCache>
                <c:ptCount val="10"/>
                <c:pt idx="0">
                  <c:v>Gen Hoshino</c:v>
                </c:pt>
                <c:pt idx="1">
                  <c:v>KT Tunstall</c:v>
                </c:pt>
                <c:pt idx="2">
                  <c:v>A Great Big World;Christina Aguilera</c:v>
                </c:pt>
                <c:pt idx="3">
                  <c:v>Violent Femmes</c:v>
                </c:pt>
                <c:pt idx="4">
                  <c:v>Jason Mraz;Colbie Caillat</c:v>
                </c:pt>
                <c:pt idx="5">
                  <c:v>Matt Nathanson</c:v>
                </c:pt>
                <c:pt idx="6">
                  <c:v>Zack Tabudlo</c:v>
                </c:pt>
                <c:pt idx="7">
                  <c:v>Caleb Santos;Viva Music Publishing Inc.</c:v>
                </c:pt>
                <c:pt idx="8">
                  <c:v>Ron Pope</c:v>
                </c:pt>
                <c:pt idx="9">
                  <c:v>Sara Bareilles</c:v>
                </c:pt>
              </c:strCache>
            </c:strRef>
          </c:cat>
          <c:val>
            <c:numRef>
              <c:f>Pivot_Analysis!$B$4:$B$14</c:f>
              <c:numCache>
                <c:formatCode>General</c:formatCode>
                <c:ptCount val="10"/>
                <c:pt idx="0">
                  <c:v>73</c:v>
                </c:pt>
                <c:pt idx="1">
                  <c:v>73</c:v>
                </c:pt>
                <c:pt idx="2">
                  <c:v>72</c:v>
                </c:pt>
                <c:pt idx="3">
                  <c:v>71</c:v>
                </c:pt>
                <c:pt idx="4">
                  <c:v>71</c:v>
                </c:pt>
                <c:pt idx="5">
                  <c:v>71</c:v>
                </c:pt>
                <c:pt idx="6">
                  <c:v>69.125</c:v>
                </c:pt>
                <c:pt idx="7">
                  <c:v>68</c:v>
                </c:pt>
                <c:pt idx="8">
                  <c:v>68</c:v>
                </c:pt>
                <c:pt idx="9">
                  <c:v>68</c:v>
                </c:pt>
              </c:numCache>
            </c:numRef>
          </c:val>
          <c:extLst>
            <c:ext xmlns:c16="http://schemas.microsoft.com/office/drawing/2014/chart" uri="{C3380CC4-5D6E-409C-BE32-E72D297353CC}">
              <c16:uniqueId val="{00000000-9A75-472A-BEB7-D0CAED3AC7D8}"/>
            </c:ext>
          </c:extLst>
        </c:ser>
        <c:dLbls>
          <c:dLblPos val="outEnd"/>
          <c:showLegendKey val="0"/>
          <c:showVal val="1"/>
          <c:showCatName val="0"/>
          <c:showSerName val="0"/>
          <c:showPercent val="0"/>
          <c:showBubbleSize val="0"/>
        </c:dLbls>
        <c:gapWidth val="269"/>
        <c:overlap val="-20"/>
        <c:axId val="1788667360"/>
        <c:axId val="1788656320"/>
      </c:barChart>
      <c:catAx>
        <c:axId val="1788667360"/>
        <c:scaling>
          <c:orientation val="minMax"/>
        </c:scaling>
        <c:delete val="0"/>
        <c:axPos val="l"/>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1400" b="0" i="0" u="none" strike="noStrike" kern="1200" cap="all" spc="150" normalizeH="0" baseline="0">
                <a:solidFill>
                  <a:schemeClr val="lt1"/>
                </a:solidFill>
                <a:latin typeface="+mn-lt"/>
                <a:ea typeface="+mn-ea"/>
                <a:cs typeface="+mn-cs"/>
              </a:defRPr>
            </a:pPr>
            <a:endParaRPr lang="en-US"/>
          </a:p>
        </c:txPr>
        <c:crossAx val="1788656320"/>
        <c:crosses val="autoZero"/>
        <c:auto val="1"/>
        <c:lblAlgn val="ctr"/>
        <c:lblOffset val="100"/>
        <c:noMultiLvlLbl val="0"/>
      </c:catAx>
      <c:valAx>
        <c:axId val="178865632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178866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Explicit vs Clean Tracks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pPr>
            <a:solidFill>
              <a:schemeClr val="accent1"/>
            </a:solidFill>
            <a:ln w="22225">
              <a:solidFill>
                <a:schemeClr val="lt1"/>
              </a:solidFill>
              <a:round/>
            </a:ln>
            <a:effectLst/>
          </c:spPr>
        </c:marker>
        <c:dLbl>
          <c:idx val="0"/>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706678335221224"/>
          <c:y val="0.25214740090817239"/>
          <c:w val="0.33485508232667682"/>
          <c:h val="0.64821784233569868"/>
        </c:manualLayout>
      </c:layout>
      <c:doughnutChart>
        <c:varyColors val="1"/>
        <c:ser>
          <c:idx val="0"/>
          <c:order val="0"/>
          <c:tx>
            <c:v>Total</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E797-4170-B655-70B6407015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Lit>
              <c:ptCount val="1"/>
              <c:pt idx="0">
                <c:v>Clean</c:v>
              </c:pt>
            </c:strLit>
          </c:cat>
          <c:val>
            <c:numLit>
              <c:formatCode>General</c:formatCode>
              <c:ptCount val="1"/>
              <c:pt idx="0">
                <c:v>499</c:v>
              </c:pt>
            </c:numLit>
          </c:val>
          <c:extLst>
            <c:ext xmlns:c16="http://schemas.microsoft.com/office/drawing/2014/chart" uri="{C3380CC4-5D6E-409C-BE32-E72D297353CC}">
              <c16:uniqueId val="{00000002-E797-4170-B655-70B64070150B}"/>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26</xdr:col>
      <xdr:colOff>399506</xdr:colOff>
      <xdr:row>1</xdr:row>
      <xdr:rowOff>118654</xdr:rowOff>
    </xdr:from>
    <xdr:to>
      <xdr:col>31</xdr:col>
      <xdr:colOff>304800</xdr:colOff>
      <xdr:row>11</xdr:row>
      <xdr:rowOff>31237</xdr:rowOff>
    </xdr:to>
    <mc:AlternateContent xmlns:mc="http://schemas.openxmlformats.org/markup-compatibility/2006">
      <mc:Choice xmlns:a14="http://schemas.microsoft.com/office/drawing/2010/main" Requires="a14">
        <xdr:graphicFrame macro="">
          <xdr:nvGraphicFramePr>
            <xdr:cNvPr id="2" name="energy_level">
              <a:extLst>
                <a:ext uri="{FF2B5EF4-FFF2-40B4-BE49-F238E27FC236}">
                  <a16:creationId xmlns:a16="http://schemas.microsoft.com/office/drawing/2014/main" id="{BCA19B8C-096B-48EF-AEC7-3D2A6AE03FF0}"/>
                </a:ext>
              </a:extLst>
            </xdr:cNvPr>
            <xdr:cNvGraphicFramePr/>
          </xdr:nvGraphicFramePr>
          <xdr:xfrm>
            <a:off x="0" y="0"/>
            <a:ext cx="0" cy="0"/>
          </xdr:xfrm>
          <a:graphic>
            <a:graphicData uri="http://schemas.microsoft.com/office/drawing/2010/slicer">
              <sle:slicer xmlns:sle="http://schemas.microsoft.com/office/drawing/2010/slicer" name="energy_level"/>
            </a:graphicData>
          </a:graphic>
        </xdr:graphicFrame>
      </mc:Choice>
      <mc:Fallback>
        <xdr:sp macro="" textlink="">
          <xdr:nvSpPr>
            <xdr:cNvPr id="0" name=""/>
            <xdr:cNvSpPr>
              <a:spLocks noTextEdit="1"/>
            </xdr:cNvSpPr>
          </xdr:nvSpPr>
          <xdr:spPr>
            <a:xfrm>
              <a:off x="19818961" y="915290"/>
              <a:ext cx="2964839" cy="2152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475327</xdr:colOff>
      <xdr:row>15</xdr:row>
      <xdr:rowOff>137257</xdr:rowOff>
    </xdr:from>
    <xdr:to>
      <xdr:col>31</xdr:col>
      <xdr:colOff>182218</xdr:colOff>
      <xdr:row>28</xdr:row>
      <xdr:rowOff>165652</xdr:rowOff>
    </xdr:to>
    <mc:AlternateContent xmlns:mc="http://schemas.openxmlformats.org/markup-compatibility/2006">
      <mc:Choice xmlns:a14="http://schemas.microsoft.com/office/drawing/2010/main" Requires="a14">
        <xdr:graphicFrame macro="">
          <xdr:nvGraphicFramePr>
            <xdr:cNvPr id="3" name="content_type">
              <a:extLst>
                <a:ext uri="{FF2B5EF4-FFF2-40B4-BE49-F238E27FC236}">
                  <a16:creationId xmlns:a16="http://schemas.microsoft.com/office/drawing/2014/main" id="{CBF5719F-1141-4C6B-933D-74B6817DAC12}"/>
                </a:ext>
              </a:extLst>
            </xdr:cNvPr>
            <xdr:cNvGraphicFramePr/>
          </xdr:nvGraphicFramePr>
          <xdr:xfrm>
            <a:off x="0" y="0"/>
            <a:ext cx="0" cy="0"/>
          </xdr:xfrm>
          <a:graphic>
            <a:graphicData uri="http://schemas.microsoft.com/office/drawing/2010/slicer">
              <sle:slicer xmlns:sle="http://schemas.microsoft.com/office/drawing/2010/slicer" name="content_type"/>
            </a:graphicData>
          </a:graphic>
        </xdr:graphicFrame>
      </mc:Choice>
      <mc:Fallback>
        <xdr:sp macro="" textlink="">
          <xdr:nvSpPr>
            <xdr:cNvPr id="0" name=""/>
            <xdr:cNvSpPr>
              <a:spLocks noTextEdit="1"/>
            </xdr:cNvSpPr>
          </xdr:nvSpPr>
          <xdr:spPr>
            <a:xfrm>
              <a:off x="19894782" y="3912621"/>
              <a:ext cx="2766436" cy="24298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592183</xdr:colOff>
      <xdr:row>1</xdr:row>
      <xdr:rowOff>120832</xdr:rowOff>
    </xdr:from>
    <xdr:to>
      <xdr:col>25</xdr:col>
      <xdr:colOff>370115</xdr:colOff>
      <xdr:row>11</xdr:row>
      <xdr:rowOff>104596</xdr:rowOff>
    </xdr:to>
    <mc:AlternateContent xmlns:mc="http://schemas.openxmlformats.org/markup-compatibility/2006">
      <mc:Choice xmlns:a14="http://schemas.microsoft.com/office/drawing/2010/main" Requires="a14">
        <xdr:graphicFrame macro="">
          <xdr:nvGraphicFramePr>
            <xdr:cNvPr id="4" name="popularity_level">
              <a:extLst>
                <a:ext uri="{FF2B5EF4-FFF2-40B4-BE49-F238E27FC236}">
                  <a16:creationId xmlns:a16="http://schemas.microsoft.com/office/drawing/2014/main" id="{3A8A2CC2-D64C-4F7A-AC3F-88FD22501D83}"/>
                </a:ext>
              </a:extLst>
            </xdr:cNvPr>
            <xdr:cNvGraphicFramePr/>
          </xdr:nvGraphicFramePr>
          <xdr:xfrm>
            <a:off x="0" y="0"/>
            <a:ext cx="0" cy="0"/>
          </xdr:xfrm>
          <a:graphic>
            <a:graphicData uri="http://schemas.microsoft.com/office/drawing/2010/slicer">
              <sle:slicer xmlns:sle="http://schemas.microsoft.com/office/drawing/2010/slicer" name="popularity_level"/>
            </a:graphicData>
          </a:graphic>
        </xdr:graphicFrame>
      </mc:Choice>
      <mc:Fallback>
        <xdr:sp macro="" textlink="">
          <xdr:nvSpPr>
            <xdr:cNvPr id="0" name=""/>
            <xdr:cNvSpPr>
              <a:spLocks noTextEdit="1"/>
            </xdr:cNvSpPr>
          </xdr:nvSpPr>
          <xdr:spPr>
            <a:xfrm>
              <a:off x="16340183" y="917468"/>
              <a:ext cx="2837477" cy="22235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6</xdr:row>
      <xdr:rowOff>0</xdr:rowOff>
    </xdr:from>
    <xdr:to>
      <xdr:col>13</xdr:col>
      <xdr:colOff>299521</xdr:colOff>
      <xdr:row>30</xdr:row>
      <xdr:rowOff>167511</xdr:rowOff>
    </xdr:to>
    <xdr:graphicFrame macro="">
      <xdr:nvGraphicFramePr>
        <xdr:cNvPr id="5" name="Chart 4">
          <a:extLst>
            <a:ext uri="{FF2B5EF4-FFF2-40B4-BE49-F238E27FC236}">
              <a16:creationId xmlns:a16="http://schemas.microsoft.com/office/drawing/2014/main" id="{005D1A7A-0C07-4F39-AB76-EB3F84FA1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99390</xdr:colOff>
      <xdr:row>15</xdr:row>
      <xdr:rowOff>82825</xdr:rowOff>
    </xdr:from>
    <xdr:to>
      <xdr:col>24</xdr:col>
      <xdr:colOff>331303</xdr:colOff>
      <xdr:row>31</xdr:row>
      <xdr:rowOff>115956</xdr:rowOff>
    </xdr:to>
    <xdr:graphicFrame macro="">
      <xdr:nvGraphicFramePr>
        <xdr:cNvPr id="6" name="Chart 5">
          <a:extLst>
            <a:ext uri="{FF2B5EF4-FFF2-40B4-BE49-F238E27FC236}">
              <a16:creationId xmlns:a16="http://schemas.microsoft.com/office/drawing/2014/main" id="{96C0E6B8-BCC7-4E03-8751-107464FF5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9178</xdr:rowOff>
    </xdr:from>
    <xdr:to>
      <xdr:col>4</xdr:col>
      <xdr:colOff>756148</xdr:colOff>
      <xdr:row>42</xdr:row>
      <xdr:rowOff>106218</xdr:rowOff>
    </xdr:to>
    <xdr:graphicFrame macro="">
      <xdr:nvGraphicFramePr>
        <xdr:cNvPr id="2" name="Chart 1">
          <a:extLst>
            <a:ext uri="{FF2B5EF4-FFF2-40B4-BE49-F238E27FC236}">
              <a16:creationId xmlns:a16="http://schemas.microsoft.com/office/drawing/2014/main" id="{2E982879-FA9B-93F0-7E90-188258970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406400</xdr:colOff>
      <xdr:row>9</xdr:row>
      <xdr:rowOff>50800</xdr:rowOff>
    </xdr:from>
    <xdr:to>
      <xdr:col>9</xdr:col>
      <xdr:colOff>544940</xdr:colOff>
      <xdr:row>21</xdr:row>
      <xdr:rowOff>132066</xdr:rowOff>
    </xdr:to>
    <xdr:graphicFrame macro="">
      <xdr:nvGraphicFramePr>
        <xdr:cNvPr id="7" name="Chart 6">
          <a:extLst>
            <a:ext uri="{FF2B5EF4-FFF2-40B4-BE49-F238E27FC236}">
              <a16:creationId xmlns:a16="http://schemas.microsoft.com/office/drawing/2014/main" id="{04905205-0CDA-4E7E-859C-3E5F41EEE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ndeti paavani" refreshedDate="46159.619805787035" createdVersion="8" refreshedVersion="8" minRefreshableVersion="3" recordCount="499" xr:uid="{9D454E46-EC8B-4248-922F-5BBADFD5C0E8}">
  <cacheSource type="worksheet">
    <worksheetSource name="spotify_cleaned"/>
  </cacheSource>
  <cacheFields count="25">
    <cacheField name="track_id" numFmtId="0">
      <sharedItems/>
    </cacheField>
    <cacheField name="artists" numFmtId="0">
      <sharedItems count="198">
        <s v="Gen Hoshino"/>
        <s v="Ben Woodward"/>
        <s v="Ingrid Michaelson;ZAYN"/>
        <s v="Kina Grannis"/>
        <s v="Chord Overstreet"/>
        <s v="Tyrone Wells"/>
        <s v="A Great Big World;Christina Aguilera"/>
        <s v="Jason Mraz"/>
        <s v="Jason Mraz;Colbie Caillat"/>
        <s v="Ross Copperman"/>
        <s v="Zack Tabudlo"/>
        <s v="Dan Berk"/>
        <s v="Anna Hamilton"/>
        <s v="Chord Overstreet;Deepend"/>
        <s v="Landon Pigg"/>
        <s v="Andrew Foy;Renee Foy"/>
        <s v="Boyce Avenue;Bea Miller"/>
        <s v="Boyce Avenue;Jennel Garcia"/>
        <s v="Brandi Carlile;Sam Smith"/>
        <s v="KT Tunstall"/>
        <s v="Brandi Carlile"/>
        <s v="Eddie Vedder"/>
        <s v="Brandi Carlile;Lucius"/>
        <s v="Highland Peak"/>
        <s v="Motohiro Hata"/>
        <s v="Andrew Belle"/>
        <s v="Ron Pope"/>
        <s v="Adam Christopher"/>
        <s v="Aron Wright"/>
        <s v="Sara Bareilles"/>
        <s v="Kurt Cobain"/>
        <s v="Tim Halperin"/>
        <s v="Canyon City"/>
        <s v="Aaron Espe"/>
        <s v="Tyler Ward"/>
        <s v="Five For Fighting"/>
        <s v="Bailey Jehl"/>
        <s v="Ingrid Michaelson"/>
        <s v="A Great Big World"/>
        <s v="Eddie Vedder;Nusrat Fateh Ali Khan"/>
        <s v="Drew Holcomb &amp; The Neighbors"/>
        <s v="Gabrielle Aplin"/>
        <s v="The Civil Wars"/>
        <s v="Callum J Wright"/>
        <s v="Boyce Avenue;Fifth Harmony"/>
        <s v="Boyce Avenue"/>
        <s v="Gabrielle Aplin;JP Cooper"/>
        <s v="Mone Kamishiraishi"/>
        <s v="John Adams"/>
        <s v="Kitri"/>
        <s v="Augustana"/>
        <s v="Matthew Perryman Jones"/>
        <s v="Ray LaMontagne;Sierra Ferrell"/>
        <s v="Meg Birch"/>
        <s v="Catherine Feeny"/>
        <s v="Joshua Hyslop"/>
        <s v="JJ Heller"/>
        <s v="Howie Day"/>
        <s v="Ben Rector"/>
        <s v="Matt Nathanson"/>
        <s v="Rachael Yamagata"/>
        <s v="Parachute"/>
        <s v="Susie Suh;Robot Koch"/>
        <s v="Tyler Ward;Lindsey Stirling;Kina Grannis"/>
        <s v="Eden Elf;Ren Avel"/>
        <s v="Boyce Avenue;Rachel Grae"/>
        <s v="Cary Brothers"/>
        <s v="The Mayries"/>
        <s v="Joseph Sullinger"/>
        <s v="Zack Tabudlo;Yonnyboii"/>
        <s v="Tobey Rosen"/>
        <s v="Aqualung"/>
        <s v="Tyler Ward;Karis;Ray Lorraine"/>
        <s v="AgustÃ­n AmigÃ³;Nylonwings"/>
        <s v="Amy Stroup"/>
        <s v="Boyce Avenue;Connie Talbot"/>
        <s v="Caleb Santos;Viva Music Publishing Inc."/>
        <s v="Priscilla Ahn"/>
        <s v="Jon Bryant"/>
        <s v="Donovan Woods"/>
        <s v="Angelina Cruz"/>
        <s v="Stephen Speaks"/>
        <s v="The Weepies;Deb Talan;Steve Tannen"/>
        <s v="Freddie King"/>
        <s v="Taj Mahal"/>
        <s v="Keb' Mo';Gerald Albright"/>
        <s v="Thomas Daniel"/>
        <s v="Masayoshi Yamazaki"/>
        <s v="Todd Carey;Ariza;Chuck Leavell"/>
        <s v="YUZU"/>
        <s v="Jonah Baker"/>
        <s v="Zack Tabudlo;Billkin"/>
        <s v="Anna Nalick"/>
        <s v="Us The Duo"/>
        <s v="Donovan Woods;Tenille Townes"/>
        <s v="Ray LaMontagne"/>
        <s v="Megan Davies"/>
        <s v="Boyce Avenue;Megan Nicole"/>
        <s v="Amos Lee"/>
        <s v="Jason Mraz;Meghan Trainor"/>
        <s v="Days N Daze"/>
        <s v="Mindy Gledhill"/>
        <s v="Dave Barnes"/>
        <s v="Get Dead"/>
        <s v="Albert King"/>
        <s v="Aoi Teshima"/>
        <s v="Boyce Avenue;Emma Heesters"/>
        <s v="Jae Hall"/>
        <s v="A Fine Frenzy"/>
        <s v="Roses &amp; Frey"/>
        <s v="Aidan Hawken"/>
        <s v="The Rescues"/>
        <s v="Ivan &amp; Alyosha"/>
        <s v="Austin Plaine"/>
        <s v="Plamina"/>
        <s v="Kina Grannis;Imaginary Future"/>
        <s v="Phillip LaRue"/>
        <s v="krissy &amp; ericka"/>
        <s v="Takehara Pistol"/>
        <s v="Allman Brown;Liz Lawrence"/>
        <s v="Eddy Tyler"/>
        <s v="Joy Williams"/>
        <s v="Lusaint"/>
        <s v="Boyce Avenue;Sarah Hyland"/>
        <s v="Mother's Daughter;Beck Pete"/>
        <s v="The Perishers"/>
        <s v="Tyler Ward;Madysyn"/>
        <s v="Matt Johnson;Jaclyn Davies"/>
        <s v="Greg Laswell"/>
        <s v="Andrew Foy"/>
        <s v="Jonah Baker;Sara Phillips"/>
        <s v="Joe Brooks"/>
        <s v="Masaharu Fukuyama"/>
        <s v="Zack Tabudlo;James TW"/>
        <s v="Ciaran Lavery"/>
        <s v="John Frusciante"/>
        <s v="Sara Farell"/>
        <s v="Ingrid Michaelson;AJR"/>
        <s v="Rodrigo y Gabriela"/>
        <s v="Front Porch Step"/>
        <s v="Eric Hutchinson"/>
        <s v="Brett Dennen"/>
        <s v="Rail Yard Ghosts"/>
        <s v="The Bridge City Sinners"/>
        <s v="Frank Turner"/>
        <s v="Matt Costa"/>
        <s v="Aqualung;Kina Grannis"/>
        <s v="Ichiko Aoba"/>
        <s v="Meiko"/>
        <s v="Erin McCarley"/>
        <s v="Isabella Celander"/>
        <s v="Amber Leigh Irish"/>
        <s v="Jess Penner"/>
        <s v="Daniel Robinson"/>
        <s v="Yosui Inoue;Tamio Okuda"/>
        <s v="Jonah Baker;Celine"/>
        <s v="Blame Jones"/>
        <s v="Matt White"/>
        <s v="Madi Diaz"/>
        <s v="Tristan Prettyman"/>
        <s v="Mark Oblea"/>
        <s v="Boyce Avenue;Kina Grannis"/>
        <s v="Hanare Gumi"/>
        <s v="Brett Dennen;Benedict Cumberbatch"/>
        <s v="RENT STRIKE"/>
        <s v="Mischief Brew"/>
        <s v="Grace George"/>
        <s v="Jack Savoretti"/>
        <s v="Richard Walters"/>
        <s v="Kaiak;Viktoria Tolstoy"/>
        <s v="Bailey Rushlow"/>
        <s v="Wayne Mack"/>
        <s v="Aimyon"/>
        <s v="Sungha Jung"/>
        <s v="Tamio Okuda"/>
        <s v="Zee Avi"/>
        <s v="Joshua Radin"/>
        <s v="Bailey Pelkman;Randy Rektor"/>
        <s v="Tres Hermanas"/>
        <s v="Matt Johnson"/>
        <s v="Dave Van Ronk"/>
        <s v="John Frusciante;Josh Klinghoffer"/>
        <s v="Days N Daze;Freddie Boatright"/>
        <s v="AcousticTrench"/>
        <s v="Lee DeWyze"/>
        <s v="Clementine Duo"/>
        <s v="Brandon Chase"/>
        <s v="Austin Basham"/>
        <s v="Boyce Avenue;Megan Davies;Jaclyn Davies"/>
        <s v="Eastmountainsouth"/>
        <s v="Peter Bradley Adams"/>
        <s v="Suy Galvez"/>
        <s v="Howlin' Wolf"/>
        <s v="Buddy Guy;Bonnie Raitt"/>
        <s v="Mance Lipscomb"/>
        <s v="Violent Femmes"/>
        <s v="Drei Rana;Selena Marie"/>
        <s v="Harley Poe"/>
      </sharedItems>
    </cacheField>
    <cacheField name="album_name" numFmtId="0">
      <sharedItems/>
    </cacheField>
    <cacheField name="track_name" numFmtId="0">
      <sharedItems containsDate="1" containsMixedTypes="1" minDate="1899-12-30T12:51:00" maxDate="1899-12-30T12:51:00"/>
    </cacheField>
    <cacheField name="popularity_level" numFmtId="0">
      <sharedItems count="4">
        <s v="Popular"/>
        <s v="Average"/>
        <s v="Hit"/>
        <s v="Low"/>
      </sharedItems>
    </cacheField>
    <cacheField name="popularity" numFmtId="0">
      <sharedItems containsSemiMixedTypes="0" containsString="0" containsNumber="1" containsInteger="1" minValue="0" maxValue="82"/>
    </cacheField>
    <cacheField name="duration_min" numFmtId="2">
      <sharedItems containsSemiMixedTypes="0" containsString="0" containsNumber="1" minValue="10.068833333333334" maxValue="74.551000000000002"/>
    </cacheField>
    <cacheField name="duration_ms" numFmtId="0">
      <sharedItems containsSemiMixedTypes="0" containsString="0" containsNumber="1" containsInteger="1" minValue="60413" maxValue="447306"/>
    </cacheField>
    <cacheField name="content_type" numFmtId="0">
      <sharedItems count="1">
        <s v="Clean"/>
      </sharedItems>
    </cacheField>
    <cacheField name="explicit" numFmtId="0">
      <sharedItems/>
    </cacheField>
    <cacheField name=" dance_type" numFmtId="0">
      <sharedItems/>
    </cacheField>
    <cacheField name="danceability" numFmtId="0">
      <sharedItems containsSemiMixedTypes="0" containsString="0" containsNumber="1" minValue="0.223" maxValue="0.80900000000000005"/>
    </cacheField>
    <cacheField name="energy_level" numFmtId="0">
      <sharedItems count="3">
        <s v="Medium Energy"/>
        <s v="Low Energy"/>
        <s v="High Energy"/>
      </sharedItems>
    </cacheField>
    <cacheField name="energy" numFmtId="0">
      <sharedItems containsSemiMixedTypes="0" containsString="0" containsNumber="1" minValue="2.7E-2" maxValue="0.93700000000000006"/>
    </cacheField>
    <cacheField name="key" numFmtId="0">
      <sharedItems containsSemiMixedTypes="0" containsString="0" containsNumber="1" containsInteger="1" minValue="0" maxValue="11"/>
    </cacheField>
    <cacheField name="loudness" numFmtId="0">
      <sharedItems containsSemiMixedTypes="0" containsString="0" containsNumber="1" minValue="-28.276" maxValue="-2.6190000000000002"/>
    </cacheField>
    <cacheField name="mode" numFmtId="0">
      <sharedItems containsSemiMixedTypes="0" containsString="0" containsNumber="1" containsInteger="1" minValue="0" maxValue="1"/>
    </cacheField>
    <cacheField name="speechiness" numFmtId="0">
      <sharedItems containsSemiMixedTypes="0" containsString="0" containsNumber="1" minValue="2.4E-2" maxValue="0.23599999999999999"/>
    </cacheField>
    <cacheField name="acousticness" numFmtId="0">
      <sharedItems containsMixedTypes="1" containsNumber="1" minValue="1.2E-4" maxValue="0.99"/>
    </cacheField>
    <cacheField name="instrumentalness" numFmtId="0">
      <sharedItems containsMixedTypes="1" containsNumber="1" minValue="0" maxValue="0.96099999999999997"/>
    </cacheField>
    <cacheField name="liveness" numFmtId="0">
      <sharedItems containsSemiMixedTypes="0" containsString="0" containsNumber="1" minValue="4.2500000000000003E-2" maxValue="0.79900000000000004"/>
    </cacheField>
    <cacheField name="valence" numFmtId="0">
      <sharedItems containsSemiMixedTypes="0" containsString="0" containsNumber="1" minValue="5.6800000000000003E-2" maxValue="0.97099999999999997"/>
    </cacheField>
    <cacheField name="tempo" numFmtId="0">
      <sharedItems containsSemiMixedTypes="0" containsString="0" containsNumber="1" minValue="53.844999999999999" maxValue="204.96100000000001"/>
    </cacheField>
    <cacheField name="time_signature" numFmtId="0">
      <sharedItems containsSemiMixedTypes="0" containsString="0" containsNumber="1" containsInteger="1" minValue="1" maxValue="5"/>
    </cacheField>
    <cacheField name="track_genre" numFmtId="0">
      <sharedItems/>
    </cacheField>
  </cacheFields>
  <extLst>
    <ext xmlns:x14="http://schemas.microsoft.com/office/spreadsheetml/2009/9/main" uri="{725AE2AE-9491-48be-B2B4-4EB974FC3084}">
      <x14:pivotCacheDefinition pivotCacheId="19331243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5SuOikwiRyPMVoIQDJUgSV"/>
    <x v="0"/>
    <s v="Comedy"/>
    <s v="Comedy"/>
    <x v="0"/>
    <n v="73"/>
    <n v="38.444333333333333"/>
    <n v="230666"/>
    <x v="0"/>
    <b v="0"/>
    <s v="Moderate"/>
    <n v="0.67600000000000005"/>
    <x v="0"/>
    <n v="0.46100000000000002"/>
    <n v="1"/>
    <n v="-6.7460000000000004"/>
    <n v="0"/>
    <n v="0.14299999999999999"/>
    <n v="3.2199999999999999E-2"/>
    <s v="1.01e-06"/>
    <n v="0.35799999999999998"/>
    <n v="0.71499999999999997"/>
    <n v="87.917000000000002"/>
    <n v="4"/>
    <s v="acoustic"/>
  </r>
  <r>
    <s v="4qPNDBW1i3p13qLCt0Ki3A"/>
    <x v="1"/>
    <s v="Ghost (Acoustic)"/>
    <s v="Ghost - Acoustic"/>
    <x v="1"/>
    <n v="55"/>
    <n v="24.934999999999999"/>
    <n v="149610"/>
    <x v="0"/>
    <b v="0"/>
    <s v="Moderate"/>
    <n v="0.42"/>
    <x v="1"/>
    <n v="0.16600000000000001"/>
    <n v="1"/>
    <n v="-17.234999999999999"/>
    <n v="1"/>
    <n v="7.6300000000000007E-2"/>
    <n v="0.92400000000000004"/>
    <s v="5.56e-06"/>
    <n v="0.10100000000000001"/>
    <n v="0.26700000000000002"/>
    <n v="77.489000000000004"/>
    <n v="4"/>
    <s v="acoustic"/>
  </r>
  <r>
    <s v="1iJBSr7s7jYXzM8EGcbK5b"/>
    <x v="2"/>
    <s v="To Begin Again"/>
    <s v="To Begin Again"/>
    <x v="1"/>
    <n v="57"/>
    <n v="35.137666666666668"/>
    <n v="210826"/>
    <x v="0"/>
    <b v="0"/>
    <s v="Moderate"/>
    <n v="0.438"/>
    <x v="1"/>
    <n v="0.35899999999999999"/>
    <n v="0"/>
    <n v="-9.734"/>
    <n v="1"/>
    <n v="5.57E-2"/>
    <n v="0.21"/>
    <n v="0"/>
    <n v="0.11700000000000001"/>
    <n v="0.12"/>
    <n v="76.331999999999994"/>
    <n v="4"/>
    <s v="acoustic"/>
  </r>
  <r>
    <s v="6lfxq3CG4xtTiEg7opyCyx"/>
    <x v="3"/>
    <s v="Crazy Rich Asians (Original Motion Picture Soundtrack)"/>
    <s v="Can't Help Falling In Love"/>
    <x v="0"/>
    <n v="71"/>
    <n v="33.655500000000004"/>
    <n v="201933"/>
    <x v="0"/>
    <b v="0"/>
    <s v="Low"/>
    <n v="0.26600000000000001"/>
    <x v="1"/>
    <n v="5.96E-2"/>
    <n v="0"/>
    <n v="-18.515000000000001"/>
    <n v="1"/>
    <n v="3.6299999999999999E-2"/>
    <n v="0.90500000000000003"/>
    <s v="7.07e-05"/>
    <n v="0.13200000000000001"/>
    <n v="0.14299999999999999"/>
    <n v="181.74"/>
    <n v="3"/>
    <s v="acoustic"/>
  </r>
  <r>
    <s v="5vjLSffimiIP26QG5WcN2K"/>
    <x v="4"/>
    <s v="Hold On"/>
    <s v="Hold On"/>
    <x v="2"/>
    <n v="82"/>
    <n v="33.142166666666668"/>
    <n v="198853"/>
    <x v="0"/>
    <b v="0"/>
    <s v="Moderate"/>
    <n v="0.61799999999999999"/>
    <x v="0"/>
    <n v="0.443"/>
    <n v="2"/>
    <n v="-9.6809999999999992"/>
    <n v="1"/>
    <n v="5.2600000000000001E-2"/>
    <n v="0.46899999999999997"/>
    <n v="0"/>
    <n v="8.2900000000000001E-2"/>
    <n v="0.16700000000000001"/>
    <n v="119.949"/>
    <n v="4"/>
    <s v="acoustic"/>
  </r>
  <r>
    <s v="01MVOl9KtVTNfFiBU9I7dc"/>
    <x v="5"/>
    <s v="Days I Will Remember"/>
    <s v="Days I Will Remember"/>
    <x v="1"/>
    <n v="58"/>
    <n v="35.706666666666663"/>
    <n v="214240"/>
    <x v="0"/>
    <b v="0"/>
    <s v="Moderate"/>
    <n v="0.68799999999999994"/>
    <x v="0"/>
    <n v="0.48099999999999998"/>
    <n v="6"/>
    <n v="-8.8070000000000004"/>
    <n v="1"/>
    <n v="0.105"/>
    <n v="0.28899999999999998"/>
    <n v="0"/>
    <n v="0.189"/>
    <n v="0.66600000000000004"/>
    <n v="98.016999999999996"/>
    <n v="4"/>
    <s v="acoustic"/>
  </r>
  <r>
    <s v="6Vc5wAMmXdKIAM7WUoEb7N"/>
    <x v="6"/>
    <s v="Is There Anybody Out There?"/>
    <s v="Say Something"/>
    <x v="0"/>
    <n v="74"/>
    <n v="38.233333333333334"/>
    <n v="229400"/>
    <x v="0"/>
    <b v="0"/>
    <s v="Moderate"/>
    <n v="0.40699999999999997"/>
    <x v="1"/>
    <n v="0.14699999999999999"/>
    <n v="2"/>
    <n v="-8.8219999999999992"/>
    <n v="1"/>
    <n v="3.5499999999999997E-2"/>
    <n v="0.85699999999999998"/>
    <s v="2.89e-06"/>
    <n v="9.1300000000000006E-2"/>
    <n v="7.6499999999999999E-2"/>
    <n v="141.28399999999999"/>
    <n v="3"/>
    <s v="acoustic"/>
  </r>
  <r>
    <s v="1EzrEOXmMH3G43AXT1y7pA"/>
    <x v="7"/>
    <s v="We Sing. We Dance. We Steal Things."/>
    <s v="I'm Yours"/>
    <x v="2"/>
    <n v="80"/>
    <n v="40.491"/>
    <n v="242946"/>
    <x v="0"/>
    <b v="0"/>
    <s v="Very Danceable"/>
    <n v="0.70299999999999996"/>
    <x v="0"/>
    <n v="0.44400000000000001"/>
    <n v="11"/>
    <n v="-9.3309999999999995"/>
    <n v="1"/>
    <n v="4.1700000000000001E-2"/>
    <n v="0.55900000000000005"/>
    <n v="0"/>
    <n v="9.7299999999999998E-2"/>
    <n v="0.71199999999999997"/>
    <n v="150.96"/>
    <n v="4"/>
    <s v="acoustic"/>
  </r>
  <r>
    <s v="0IktbUcnAGrvD03AWnz3Q8"/>
    <x v="8"/>
    <s v="We Sing. We Dance. We Steal Things."/>
    <s v="Lucky"/>
    <x v="0"/>
    <n v="74"/>
    <n v="31.602166666666665"/>
    <n v="189613"/>
    <x v="0"/>
    <b v="0"/>
    <s v="Moderate"/>
    <n v="0.625"/>
    <x v="0"/>
    <n v="0.41399999999999998"/>
    <n v="0"/>
    <n v="-8.6999999999999993"/>
    <n v="1"/>
    <n v="3.6900000000000002E-2"/>
    <n v="0.29399999999999998"/>
    <n v="0"/>
    <n v="0.151"/>
    <n v="0.66900000000000004"/>
    <n v="130.08799999999999"/>
    <n v="4"/>
    <s v="acoustic"/>
  </r>
  <r>
    <s v="7k9GuJYLp2AzqokyEdwEw2"/>
    <x v="9"/>
    <s v="Hunger"/>
    <s v="Hunger"/>
    <x v="1"/>
    <n v="56"/>
    <n v="34.265666666666668"/>
    <n v="205594"/>
    <x v="0"/>
    <b v="0"/>
    <s v="Moderate"/>
    <n v="0.442"/>
    <x v="0"/>
    <n v="0.63200000000000001"/>
    <n v="1"/>
    <n v="-6.77"/>
    <n v="1"/>
    <n v="2.9499999999999998E-2"/>
    <n v="0.42599999999999999"/>
    <n v="4.1900000000000001E-3"/>
    <n v="7.3499999999999996E-2"/>
    <n v="0.19600000000000001"/>
    <n v="78.899000000000001"/>
    <n v="4"/>
    <s v="acoustic"/>
  </r>
  <r>
    <s v="4mzP5mHkRvGxdhdGdAH7EJ"/>
    <x v="10"/>
    <s v="Episode"/>
    <s v="Give Me Your Forever"/>
    <x v="0"/>
    <n v="74"/>
    <n v="40.799999999999997"/>
    <n v="244800"/>
    <x v="0"/>
    <b v="0"/>
    <s v="Moderate"/>
    <n v="0.627"/>
    <x v="1"/>
    <n v="0.36299999999999999"/>
    <n v="8"/>
    <n v="-8.1270000000000007"/>
    <n v="1"/>
    <n v="2.9100000000000001E-2"/>
    <n v="0.27900000000000003"/>
    <n v="0"/>
    <n v="9.2799999999999994E-2"/>
    <n v="0.30099999999999999"/>
    <n v="99.905000000000001"/>
    <n v="4"/>
    <s v="acoustic"/>
  </r>
  <r>
    <s v="5ivF4eQBqJiVL5IAE9jRyl"/>
    <x v="7"/>
    <s v="Love Is a Four Letter Word"/>
    <s v="I Won't Give Up"/>
    <x v="0"/>
    <n v="69"/>
    <n v="40.027500000000003"/>
    <n v="240165"/>
    <x v="0"/>
    <b v="0"/>
    <s v="Moderate"/>
    <n v="0.48299999999999998"/>
    <x v="1"/>
    <n v="0.30299999999999999"/>
    <n v="4"/>
    <n v="-10.058"/>
    <n v="1"/>
    <n v="4.2900000000000001E-2"/>
    <n v="0.69399999999999995"/>
    <n v="0"/>
    <n v="0.115"/>
    <n v="0.13900000000000001"/>
    <n v="133.40600000000001"/>
    <n v="3"/>
    <s v="acoustic"/>
  </r>
  <r>
    <s v="4ptDJbJl35d7gQfeNteBwp"/>
    <x v="11"/>
    <s v="Solo"/>
    <s v="Solo"/>
    <x v="1"/>
    <n v="52"/>
    <n v="33.11866666666667"/>
    <n v="198712"/>
    <x v="0"/>
    <b v="0"/>
    <s v="Moderate"/>
    <n v="0.48899999999999999"/>
    <x v="1"/>
    <n v="0.314"/>
    <n v="7"/>
    <n v="-9.2449999999999992"/>
    <n v="0"/>
    <n v="3.3099999999999997E-2"/>
    <n v="0.749"/>
    <n v="0"/>
    <n v="0.113"/>
    <n v="0.60699999999999998"/>
    <n v="124.23399999999999"/>
    <n v="4"/>
    <s v="acoustic"/>
  </r>
  <r>
    <s v="0X9MxHR1rTkEHDjp95F2OO"/>
    <x v="12"/>
    <s v="Bad Liar"/>
    <s v="Bad Liar"/>
    <x v="0"/>
    <n v="62"/>
    <n v="41.408000000000001"/>
    <n v="248448"/>
    <x v="0"/>
    <b v="0"/>
    <s v="Moderate"/>
    <n v="0.69099999999999995"/>
    <x v="1"/>
    <n v="0.23400000000000001"/>
    <n v="3"/>
    <n v="-6.4409999999999998"/>
    <n v="1"/>
    <n v="2.8500000000000001E-2"/>
    <n v="0.77700000000000002"/>
    <n v="0"/>
    <n v="0.12"/>
    <n v="0.20899999999999999"/>
    <n v="87.102999999999994"/>
    <n v="4"/>
    <s v="acoustic"/>
  </r>
  <r>
    <s v="4LbWtBkN82ZRhz9jqzgrb3"/>
    <x v="13"/>
    <s v="Hold On (Remix)"/>
    <s v="Hold On - Remix"/>
    <x v="1"/>
    <n v="56"/>
    <n v="31.355499999999999"/>
    <n v="188133"/>
    <x v="0"/>
    <b v="0"/>
    <s v="Very Danceable"/>
    <n v="0.755"/>
    <x v="2"/>
    <n v="0.78"/>
    <n v="2"/>
    <n v="-6.0839999999999996"/>
    <n v="1"/>
    <n v="3.27E-2"/>
    <n v="0.124"/>
    <s v="2.83e-05"/>
    <n v="0.121"/>
    <n v="0.38700000000000001"/>
    <n v="120.004"/>
    <n v="4"/>
    <s v="acoustic"/>
  </r>
  <r>
    <s v="1KHdq8NK9QxnGjdXb55NiG"/>
    <x v="14"/>
    <s v="The Boy Who Never"/>
    <s v="Falling in Love at a Coffee Shop"/>
    <x v="1"/>
    <n v="58"/>
    <n v="40.831000000000003"/>
    <n v="244986"/>
    <x v="0"/>
    <b v="0"/>
    <s v="Moderate"/>
    <n v="0.48899999999999999"/>
    <x v="0"/>
    <n v="0.56100000000000005"/>
    <n v="4"/>
    <n v="-7.9329999999999998"/>
    <n v="1"/>
    <n v="2.7400000000000001E-2"/>
    <n v="0.2"/>
    <s v="4.56e-05"/>
    <n v="0.17899999999999999"/>
    <n v="0.23799999999999999"/>
    <n v="83.456999999999994"/>
    <n v="3"/>
    <s v="acoustic"/>
  </r>
  <r>
    <s v="6xKeQgzfjixSUld14qUezm"/>
    <x v="15"/>
    <s v="ily (i love you baby)"/>
    <s v="ily (i love you baby)"/>
    <x v="1"/>
    <n v="56"/>
    <n v="21.625"/>
    <n v="129750"/>
    <x v="0"/>
    <b v="0"/>
    <s v="Very Danceable"/>
    <n v="0.70599999999999996"/>
    <x v="1"/>
    <n v="0.112"/>
    <n v="2"/>
    <n v="-18.097999999999999"/>
    <n v="1"/>
    <n v="3.9100000000000003E-2"/>
    <n v="0.82699999999999996"/>
    <s v="4.03e-06"/>
    <n v="0.125"/>
    <n v="0.41399999999999998"/>
    <n v="110.154"/>
    <n v="4"/>
    <s v="acoustic"/>
  </r>
  <r>
    <s v="4Yo0igmcoNyat1secaH0OD"/>
    <x v="15"/>
    <s v="At My Worst"/>
    <s v="At My Worst"/>
    <x v="1"/>
    <n v="54"/>
    <n v="28.288"/>
    <n v="169728"/>
    <x v="0"/>
    <b v="0"/>
    <s v="Very Danceable"/>
    <n v="0.79500000000000004"/>
    <x v="1"/>
    <n v="8.4099999999999994E-2"/>
    <n v="10"/>
    <n v="-18.09"/>
    <n v="0"/>
    <n v="4.6100000000000002E-2"/>
    <n v="0.74199999999999999"/>
    <s v="1.17e-05"/>
    <n v="8.5300000000000001E-2"/>
    <n v="0.60899999999999999"/>
    <n v="91.802999999999997"/>
    <n v="4"/>
    <s v="acoustic"/>
  </r>
  <r>
    <s v="2qLMf6TuEC3ruGJg4SMMN6"/>
    <x v="8"/>
    <s v="We Sing. We Dance. We Steal Things."/>
    <s v="Lucky"/>
    <x v="0"/>
    <n v="68"/>
    <n v="31.602166666666665"/>
    <n v="189613"/>
    <x v="0"/>
    <b v="0"/>
    <s v="Moderate"/>
    <n v="0.625"/>
    <x v="0"/>
    <n v="0.41399999999999998"/>
    <n v="0"/>
    <n v="-8.6999999999999993"/>
    <n v="1"/>
    <n v="3.6900000000000002E-2"/>
    <n v="0.29399999999999998"/>
    <n v="0"/>
    <n v="0.151"/>
    <n v="0.66900000000000004"/>
    <n v="130.08799999999999"/>
    <n v="4"/>
    <s v="acoustic"/>
  </r>
  <r>
    <s v="6CgNoAbFJ4Q4Id4EjtbXlC"/>
    <x v="16"/>
    <s v="Cover Sessions, Vol. 4"/>
    <s v="Photograph"/>
    <x v="0"/>
    <n v="67"/>
    <n v="43.364333333333335"/>
    <n v="260186"/>
    <x v="0"/>
    <b v="0"/>
    <s v="Very Danceable"/>
    <n v="0.71699999999999997"/>
    <x v="1"/>
    <n v="0.32"/>
    <n v="3"/>
    <n v="-8.3930000000000007"/>
    <n v="1"/>
    <n v="2.8299999999999999E-2"/>
    <n v="0.83"/>
    <n v="0"/>
    <n v="0.107"/>
    <n v="0.32200000000000001"/>
    <n v="107.946"/>
    <n v="4"/>
    <s v="acoustic"/>
  </r>
  <r>
    <s v="3S0OXQeoh0w6AY8WQVckRW"/>
    <x v="7"/>
    <s v="We Sing. We Dance. We Steal Things."/>
    <s v="I'm Yours"/>
    <x v="0"/>
    <n v="75"/>
    <n v="40.491"/>
    <n v="242946"/>
    <x v="0"/>
    <b v="0"/>
    <s v="Very Danceable"/>
    <n v="0.70299999999999996"/>
    <x v="0"/>
    <n v="0.44400000000000001"/>
    <n v="11"/>
    <n v="-9.3309999999999995"/>
    <n v="1"/>
    <n v="4.1700000000000001E-2"/>
    <n v="0.55900000000000005"/>
    <n v="0"/>
    <n v="9.7299999999999998E-2"/>
    <n v="0.71199999999999997"/>
    <n v="150.96"/>
    <n v="4"/>
    <s v="acoustic"/>
  </r>
  <r>
    <s v="210JCw2LbYD4YIs8GiZ9iP"/>
    <x v="17"/>
    <s v="Cover Sessions, Vol. 3"/>
    <s v="Demons"/>
    <x v="0"/>
    <n v="63"/>
    <n v="29.029"/>
    <n v="174174"/>
    <x v="0"/>
    <b v="0"/>
    <s v="Moderate"/>
    <n v="0.67800000000000005"/>
    <x v="1"/>
    <n v="0.35099999999999998"/>
    <n v="0"/>
    <n v="-8.6539999999999999"/>
    <n v="1"/>
    <n v="2.6599999999999999E-2"/>
    <n v="0.747"/>
    <n v="0"/>
    <n v="0.35499999999999998"/>
    <n v="0.56899999999999995"/>
    <n v="90.031999999999996"/>
    <n v="4"/>
    <s v="acoustic"/>
  </r>
  <r>
    <s v="5TvE3pk05pyFIGdSY9j4DJ"/>
    <x v="6"/>
    <s v="Is There Anybody Out There? - Track by Track Commentary"/>
    <s v="Say Something"/>
    <x v="0"/>
    <n v="70"/>
    <n v="38.233333333333334"/>
    <n v="229400"/>
    <x v="0"/>
    <b v="0"/>
    <s v="Moderate"/>
    <n v="0.40699999999999997"/>
    <x v="1"/>
    <n v="0.14699999999999999"/>
    <n v="2"/>
    <n v="-8.8219999999999992"/>
    <n v="1"/>
    <n v="3.5499999999999997E-2"/>
    <n v="0.85699999999999998"/>
    <s v="2.89e-06"/>
    <n v="9.1300000000000006E-2"/>
    <n v="7.6499999999999999E-2"/>
    <n v="141.28399999999999"/>
    <n v="3"/>
    <s v="acoustic"/>
  </r>
  <r>
    <s v="0BUuuEvNa5T4lMaewyiudB"/>
    <x v="7"/>
    <s v="Coffee Moment"/>
    <s v="93 Million Miles"/>
    <x v="3"/>
    <n v="0"/>
    <n v="36.06433333333333"/>
    <n v="216386"/>
    <x v="0"/>
    <b v="0"/>
    <s v="Moderate"/>
    <n v="0.57199999999999995"/>
    <x v="0"/>
    <n v="0.45400000000000001"/>
    <n v="3"/>
    <n v="-10.286"/>
    <n v="1"/>
    <n v="2.58E-2"/>
    <n v="0.47699999999999998"/>
    <s v="1.37e-05"/>
    <n v="9.74E-2"/>
    <n v="0.51500000000000001"/>
    <n v="140.18199999999999"/>
    <n v="4"/>
    <s v="acoustic"/>
  </r>
  <r>
    <s v="3Hn3LfhrQOaKihdCibJsTs"/>
    <x v="7"/>
    <s v="Human - Best Adult Pop Tunes"/>
    <s v="Unlonely"/>
    <x v="3"/>
    <n v="0"/>
    <n v="38.544333333333334"/>
    <n v="231266"/>
    <x v="0"/>
    <b v="0"/>
    <s v="Very Danceable"/>
    <n v="0.79600000000000004"/>
    <x v="0"/>
    <n v="0.66700000000000004"/>
    <n v="5"/>
    <n v="-4.8310000000000004"/>
    <n v="0"/>
    <n v="3.9199999999999999E-2"/>
    <n v="0.38100000000000001"/>
    <n v="0"/>
    <n v="0.221"/>
    <n v="0.754"/>
    <n v="97.988"/>
    <n v="4"/>
    <s v="acoustic"/>
  </r>
  <r>
    <s v="6D33wCKzWtNEgOovgeVJ7r"/>
    <x v="7"/>
    <s v="Mellow Adult Pop"/>
    <s v="Bella Luna"/>
    <x v="3"/>
    <n v="1"/>
    <n v="50.390999999999998"/>
    <n v="302346"/>
    <x v="0"/>
    <b v="0"/>
    <s v="Very Danceable"/>
    <n v="0.755"/>
    <x v="0"/>
    <n v="0.45400000000000001"/>
    <n v="9"/>
    <n v="-9.609"/>
    <n v="0"/>
    <n v="3.5200000000000002E-2"/>
    <n v="0.75700000000000001"/>
    <n v="0"/>
    <n v="0.23599999999999999"/>
    <n v="0.33"/>
    <n v="120.06"/>
    <n v="4"/>
    <s v="acoustic"/>
  </r>
  <r>
    <s v="5IfCZDRXZrqZSm8AwE44PG"/>
    <x v="7"/>
    <s v="Holly Jolly Christmas"/>
    <s v="Winter Wonderland"/>
    <x v="3"/>
    <n v="0"/>
    <n v="21.96"/>
    <n v="131760"/>
    <x v="0"/>
    <b v="0"/>
    <s v="Moderate"/>
    <n v="0.62"/>
    <x v="1"/>
    <n v="0.309"/>
    <n v="5"/>
    <n v="-9.2089999999999996"/>
    <n v="1"/>
    <n v="4.9500000000000002E-2"/>
    <n v="0.78800000000000003"/>
    <n v="0"/>
    <n v="0.14599999999999999"/>
    <n v="0.66400000000000003"/>
    <n v="145.363"/>
    <n v="4"/>
    <s v="acoustic"/>
  </r>
  <r>
    <s v="0dzKBptH2P5j5a0MifBMwM"/>
    <x v="7"/>
    <s v="Feeling Good - Adult Pop Favorites"/>
    <s v="If It Kills Me"/>
    <x v="3"/>
    <n v="0"/>
    <n v="45.608833333333337"/>
    <n v="273653"/>
    <x v="0"/>
    <b v="0"/>
    <s v="Moderate"/>
    <n v="0.63300000000000001"/>
    <x v="0"/>
    <n v="0.42899999999999999"/>
    <n v="4"/>
    <n v="-6.7839999999999998"/>
    <n v="0"/>
    <n v="3.8100000000000002E-2"/>
    <n v="4.4400000000000002E-2"/>
    <n v="0"/>
    <n v="0.13200000000000001"/>
    <n v="0.52"/>
    <n v="143.79300000000001"/>
    <n v="4"/>
    <s v="acoustic"/>
  </r>
  <r>
    <s v="5QAMZTM5cmLg3fHX9ZbTZi"/>
    <x v="7"/>
    <s v="Christmas Time"/>
    <s v="Winter Wonderland"/>
    <x v="3"/>
    <n v="0"/>
    <n v="21.96"/>
    <n v="131760"/>
    <x v="0"/>
    <b v="0"/>
    <s v="Moderate"/>
    <n v="0.62"/>
    <x v="1"/>
    <n v="0.309"/>
    <n v="5"/>
    <n v="-9.2089999999999996"/>
    <n v="1"/>
    <n v="4.9500000000000002E-2"/>
    <n v="0.78800000000000003"/>
    <n v="0"/>
    <n v="0.14599999999999999"/>
    <n v="0.66400000000000003"/>
    <n v="145.363"/>
    <n v="4"/>
    <s v="acoustic"/>
  </r>
  <r>
    <s v="2qESE1ZeWly7I3YjyTXmXh"/>
    <x v="7"/>
    <s v="Perfect Christmas Hits"/>
    <s v="Winter Wonderland"/>
    <x v="3"/>
    <n v="0"/>
    <n v="21.96"/>
    <n v="131760"/>
    <x v="0"/>
    <b v="0"/>
    <s v="Moderate"/>
    <n v="0.62"/>
    <x v="1"/>
    <n v="0.309"/>
    <n v="5"/>
    <n v="-9.2089999999999996"/>
    <n v="1"/>
    <n v="4.9500000000000002E-2"/>
    <n v="0.78800000000000003"/>
    <n v="0"/>
    <n v="0.14599999999999999"/>
    <n v="0.66400000000000003"/>
    <n v="145.363"/>
    <n v="4"/>
    <s v="acoustic"/>
  </r>
  <r>
    <s v="3EQV1ZHtHvq9OnVRYIdbg3"/>
    <x v="7"/>
    <s v="Merry Christmas"/>
    <s v="Winter Wonderland"/>
    <x v="3"/>
    <n v="0"/>
    <n v="21.96"/>
    <n v="131760"/>
    <x v="0"/>
    <b v="0"/>
    <s v="Moderate"/>
    <n v="0.62"/>
    <x v="1"/>
    <n v="0.309"/>
    <n v="5"/>
    <n v="-9.2089999999999996"/>
    <n v="1"/>
    <n v="4.9500000000000002E-2"/>
    <n v="0.78800000000000003"/>
    <n v="0"/>
    <n v="0.14599999999999999"/>
    <n v="0.66400000000000003"/>
    <n v="145.363"/>
    <n v="4"/>
    <s v="acoustic"/>
  </r>
  <r>
    <s v="3ax0rfGb7exLtl02LL08U9"/>
    <x v="7"/>
    <s v="Christmas Music - Holiday Hits"/>
    <s v="Winter Wonderland"/>
    <x v="3"/>
    <n v="0"/>
    <n v="21.96"/>
    <n v="131760"/>
    <x v="0"/>
    <b v="0"/>
    <s v="Moderate"/>
    <n v="0.62"/>
    <x v="1"/>
    <n v="0.309"/>
    <n v="5"/>
    <n v="-9.2089999999999996"/>
    <n v="1"/>
    <n v="4.9500000000000002E-2"/>
    <n v="0.78800000000000003"/>
    <n v="0"/>
    <n v="0.14599999999999999"/>
    <n v="0.66400000000000003"/>
    <n v="145.363"/>
    <n v="4"/>
    <s v="acoustic"/>
  </r>
  <r>
    <s v="1m5LC29RE52Bxy7hxvpOlL"/>
    <x v="4"/>
    <s v="Christmas Country Songs 2022"/>
    <s v="All I Want For Christmas Is A Real Good Tan"/>
    <x v="3"/>
    <n v="0"/>
    <n v="39.030999999999999"/>
    <n v="234186"/>
    <x v="0"/>
    <b v="0"/>
    <s v="Moderate"/>
    <n v="0.59299999999999997"/>
    <x v="0"/>
    <n v="0.45500000000000002"/>
    <n v="6"/>
    <n v="-8.1920000000000002"/>
    <n v="1"/>
    <n v="3.8800000000000001E-2"/>
    <n v="0.36599999999999999"/>
    <n v="0"/>
    <n v="9.1399999999999995E-2"/>
    <n v="0.56399999999999995"/>
    <n v="202.01900000000001"/>
    <n v="4"/>
    <s v="acoustic"/>
  </r>
  <r>
    <s v="3H36x7buZdQD4687VmFrwY"/>
    <x v="18"/>
    <s v="Human - Best Adult Pop Tunes"/>
    <s v="Party of One"/>
    <x v="3"/>
    <n v="0"/>
    <n v="43.259666666666668"/>
    <n v="259558"/>
    <x v="0"/>
    <b v="0"/>
    <s v="Low"/>
    <n v="0.29599999999999999"/>
    <x v="1"/>
    <n v="0.20599999999999999"/>
    <n v="0"/>
    <n v="-11.798999999999999"/>
    <n v="1"/>
    <n v="4.1200000000000001E-2"/>
    <n v="0.78200000000000003"/>
    <n v="2.2499999999999999E-4"/>
    <n v="9.5899999999999999E-2"/>
    <n v="0.20200000000000001"/>
    <n v="165.4"/>
    <n v="4"/>
    <s v="acoustic"/>
  </r>
  <r>
    <s v="0xbMRcMFqxJq1Wa7tvWPtn"/>
    <x v="18"/>
    <s v="Feeling Good - Adult Pop Favorites"/>
    <s v="Party of One"/>
    <x v="3"/>
    <n v="0"/>
    <n v="43.259666666666668"/>
    <n v="259558"/>
    <x v="0"/>
    <b v="0"/>
    <s v="Low"/>
    <n v="0.29599999999999999"/>
    <x v="1"/>
    <n v="0.20599999999999999"/>
    <n v="0"/>
    <n v="-11.798999999999999"/>
    <n v="1"/>
    <n v="4.1200000000000001E-2"/>
    <n v="0.78200000000000003"/>
    <n v="2.2499999999999999E-4"/>
    <n v="9.5899999999999999E-2"/>
    <n v="0.20200000000000001"/>
    <n v="165.4"/>
    <n v="4"/>
    <s v="acoustic"/>
  </r>
  <r>
    <s v="6h061f44HZPj1OXO2nA45d"/>
    <x v="18"/>
    <s v="Mellow Bars R'n'B"/>
    <s v="Party of One"/>
    <x v="3"/>
    <n v="0"/>
    <n v="43.259666666666668"/>
    <n v="259558"/>
    <x v="0"/>
    <b v="0"/>
    <s v="Low"/>
    <n v="0.29599999999999999"/>
    <x v="1"/>
    <n v="0.20599999999999999"/>
    <n v="0"/>
    <n v="-11.798999999999999"/>
    <n v="1"/>
    <n v="4.1200000000000001E-2"/>
    <n v="0.78200000000000003"/>
    <n v="2.2499999999999999E-4"/>
    <n v="9.5899999999999999E-2"/>
    <n v="0.20200000000000001"/>
    <n v="165.4"/>
    <n v="4"/>
    <s v="acoustic"/>
  </r>
  <r>
    <s v="62EwQLDw0dprDzuLwQ0sH1"/>
    <x v="19"/>
    <s v="Chill Christmas Dinner"/>
    <s v="Lonely This Christmas"/>
    <x v="3"/>
    <n v="0"/>
    <n v="42.915500000000002"/>
    <n v="257493"/>
    <x v="0"/>
    <b v="0"/>
    <s v="Moderate"/>
    <n v="0.40899999999999997"/>
    <x v="1"/>
    <n v="0.153"/>
    <n v="6"/>
    <n v="-10.74"/>
    <n v="0"/>
    <n v="3.0599999999999999E-2"/>
    <n v="0.93899999999999995"/>
    <s v="2.56e-05"/>
    <n v="0.108"/>
    <n v="0.18"/>
    <n v="85.262"/>
    <n v="4"/>
    <s v="acoustic"/>
  </r>
  <r>
    <s v="3lvo0I8c2qBJDLZWqExDgC"/>
    <x v="20"/>
    <s v="rainy day indie"/>
    <s v="Throwing Good After Bad"/>
    <x v="3"/>
    <n v="0"/>
    <n v="41.298499999999997"/>
    <n v="247791"/>
    <x v="0"/>
    <b v="0"/>
    <s v="Moderate"/>
    <n v="0.501"/>
    <x v="1"/>
    <n v="9.5200000000000007E-2"/>
    <n v="2"/>
    <n v="-12.930999999999999"/>
    <n v="1"/>
    <n v="5.3999999999999999E-2"/>
    <n v="0.96299999999999997"/>
    <s v="1.58e-05"/>
    <n v="9.1499999999999998E-2"/>
    <n v="0.316"/>
    <n v="138.01599999999999"/>
    <n v="4"/>
    <s v="acoustic"/>
  </r>
  <r>
    <s v="1ae8XfBQ3fDEvmBjFaemGV"/>
    <x v="20"/>
    <s v="Coffee Moment"/>
    <s v="This Time Tomorrow"/>
    <x v="3"/>
    <n v="0"/>
    <n v="34.377833333333335"/>
    <n v="206267"/>
    <x v="0"/>
    <b v="0"/>
    <s v="Moderate"/>
    <n v="0.60599999999999998"/>
    <x v="1"/>
    <n v="0.32600000000000001"/>
    <n v="10"/>
    <n v="-10.031000000000001"/>
    <n v="1"/>
    <n v="2.9399999999999999E-2"/>
    <n v="0.84099999999999997"/>
    <n v="0"/>
    <n v="0.13900000000000001"/>
    <n v="0.41399999999999998"/>
    <n v="91.626000000000005"/>
    <n v="4"/>
    <s v="acoustic"/>
  </r>
  <r>
    <s v="0adVktNVJXPZfhQe6B1NO5"/>
    <x v="19"/>
    <s v="sadsadchristmas"/>
    <s v="Lonely This Christmas"/>
    <x v="3"/>
    <n v="0"/>
    <n v="42.915500000000002"/>
    <n v="257493"/>
    <x v="0"/>
    <b v="0"/>
    <s v="Moderate"/>
    <n v="0.40899999999999997"/>
    <x v="1"/>
    <n v="0.153"/>
    <n v="6"/>
    <n v="-10.74"/>
    <n v="0"/>
    <n v="3.0599999999999999E-2"/>
    <n v="0.93899999999999995"/>
    <s v="2.56e-05"/>
    <n v="0.108"/>
    <n v="0.18"/>
    <n v="85.262"/>
    <n v="4"/>
    <s v="acoustic"/>
  </r>
  <r>
    <s v="6sp6Vx3sv2l5qxPfbQkcyt"/>
    <x v="21"/>
    <s v="Mega Hits Autumn/Fall 2022"/>
    <s v="The Haves"/>
    <x v="3"/>
    <n v="0"/>
    <n v="51.132333333333335"/>
    <n v="306794"/>
    <x v="0"/>
    <b v="0"/>
    <s v="Moderate"/>
    <n v="0.47399999999999998"/>
    <x v="0"/>
    <n v="0.51900000000000002"/>
    <n v="7"/>
    <n v="-5.2910000000000004"/>
    <n v="1"/>
    <n v="2.53E-2"/>
    <n v="0.28100000000000003"/>
    <n v="0"/>
    <n v="0.107"/>
    <n v="0.32600000000000001"/>
    <n v="151.83199999999999"/>
    <n v="4"/>
    <s v="acoustic"/>
  </r>
  <r>
    <s v="1WFVfVjCtbmdIv7j3Fa9iy"/>
    <x v="20"/>
    <s v="Mellow Adult Pop"/>
    <s v="When You're Wrong"/>
    <x v="3"/>
    <n v="0"/>
    <n v="44.493333333333332"/>
    <n v="266960"/>
    <x v="0"/>
    <b v="0"/>
    <s v="Moderate"/>
    <n v="0.56799999999999995"/>
    <x v="1"/>
    <n v="0.30099999999999999"/>
    <n v="10"/>
    <n v="-10.163"/>
    <n v="0"/>
    <n v="3.73E-2"/>
    <n v="0.79600000000000004"/>
    <s v="3.37e-06"/>
    <n v="0.11799999999999999"/>
    <n v="0.14199999999999999"/>
    <n v="88.028999999999996"/>
    <n v="4"/>
    <s v="acoustic"/>
  </r>
  <r>
    <s v="0e5PAxSyZ5DWWVqKANHETz"/>
    <x v="22"/>
    <s v="Country Car Hits"/>
    <s v="You and Me on the Rock"/>
    <x v="3"/>
    <n v="0"/>
    <n v="38.349666666666664"/>
    <n v="230098"/>
    <x v="0"/>
    <b v="0"/>
    <s v="Moderate"/>
    <n v="0.56799999999999995"/>
    <x v="0"/>
    <n v="0.68600000000000005"/>
    <n v="1"/>
    <n v="-6.6349999999999998"/>
    <n v="1"/>
    <n v="3.3000000000000002E-2"/>
    <n v="0.15"/>
    <s v="1.81e-06"/>
    <n v="8.8099999999999998E-2"/>
    <n v="0.72499999999999998"/>
    <n v="172.07499999999999"/>
    <n v="4"/>
    <s v="acoustic"/>
  </r>
  <r>
    <s v="1MLr9b1fOybO3MGiLy47Ys"/>
    <x v="22"/>
    <s v="Country Road Songs"/>
    <s v="You and Me on the Rock"/>
    <x v="3"/>
    <n v="0"/>
    <n v="38.349666666666664"/>
    <n v="230098"/>
    <x v="0"/>
    <b v="0"/>
    <s v="Moderate"/>
    <n v="0.56799999999999995"/>
    <x v="0"/>
    <n v="0.68600000000000005"/>
    <n v="1"/>
    <n v="-6.6349999999999998"/>
    <n v="1"/>
    <n v="3.3000000000000002E-2"/>
    <n v="0.15"/>
    <s v="1.81e-06"/>
    <n v="8.8099999999999998E-2"/>
    <n v="0.72499999999999998"/>
    <n v="172.07499999999999"/>
    <n v="4"/>
    <s v="acoustic"/>
  </r>
  <r>
    <s v="6JGjevTaqr9J1xp7YvYUKF"/>
    <x v="20"/>
    <s v="Finest Country"/>
    <s v="Speak Your Mind (From the Netflix Series &quot;We The People&quot;)"/>
    <x v="3"/>
    <n v="0"/>
    <n v="32.323833333333333"/>
    <n v="193943"/>
    <x v="0"/>
    <b v="0"/>
    <s v="Moderate"/>
    <n v="0.47599999999999998"/>
    <x v="0"/>
    <n v="0.66600000000000004"/>
    <n v="6"/>
    <n v="-3.4380000000000002"/>
    <n v="1"/>
    <n v="4.4600000000000001E-2"/>
    <n v="0.314"/>
    <n v="0"/>
    <n v="0.34200000000000003"/>
    <n v="0.498"/>
    <n v="148.155"/>
    <n v="4"/>
    <s v="acoustic"/>
  </r>
  <r>
    <s v="7Af2YlwMZryKOQiRfwMsD2"/>
    <x v="22"/>
    <s v="Easy Country"/>
    <s v="You and Me on the Rock"/>
    <x v="3"/>
    <n v="0"/>
    <n v="38.349666666666664"/>
    <n v="230098"/>
    <x v="0"/>
    <b v="0"/>
    <s v="Moderate"/>
    <n v="0.56799999999999995"/>
    <x v="0"/>
    <n v="0.68600000000000005"/>
    <n v="1"/>
    <n v="-6.6349999999999998"/>
    <n v="1"/>
    <n v="3.3000000000000002E-2"/>
    <n v="0.15"/>
    <s v="1.81e-06"/>
    <n v="8.8099999999999998E-2"/>
    <n v="0.72499999999999998"/>
    <n v="172.07499999999999"/>
    <n v="4"/>
    <s v="acoustic"/>
  </r>
  <r>
    <s v="3RE5nHIVkC4KcA7snFaTKd"/>
    <x v="22"/>
    <s v="Cozy Country"/>
    <s v="You and Me on the Rock"/>
    <x v="3"/>
    <n v="0"/>
    <n v="38.349666666666664"/>
    <n v="230098"/>
    <x v="0"/>
    <b v="0"/>
    <s v="Moderate"/>
    <n v="0.56799999999999995"/>
    <x v="0"/>
    <n v="0.68600000000000005"/>
    <n v="1"/>
    <n v="-6.6349999999999998"/>
    <n v="1"/>
    <n v="3.3000000000000002E-2"/>
    <n v="0.15"/>
    <s v="1.81e-06"/>
    <n v="8.8099999999999998E-2"/>
    <n v="0.72499999999999998"/>
    <n v="172.07499999999999"/>
    <n v="4"/>
    <s v="acoustic"/>
  </r>
  <r>
    <s v="0JvkNRyq8Tmot9khpdtN0I"/>
    <x v="22"/>
    <s v="Good Times Country"/>
    <s v="You and Me on the Rock"/>
    <x v="3"/>
    <n v="0"/>
    <n v="38.349666666666664"/>
    <n v="230098"/>
    <x v="0"/>
    <b v="0"/>
    <s v="Moderate"/>
    <n v="0.56799999999999995"/>
    <x v="0"/>
    <n v="0.68600000000000005"/>
    <n v="1"/>
    <n v="-6.6349999999999998"/>
    <n v="1"/>
    <n v="3.3000000000000002E-2"/>
    <n v="0.15"/>
    <s v="1.81e-06"/>
    <n v="8.8099999999999998E-2"/>
    <n v="0.72499999999999998"/>
    <n v="172.07499999999999"/>
    <n v="4"/>
    <s v="acoustic"/>
  </r>
  <r>
    <s v="27gHtbsHClwimHFtKgFop4"/>
    <x v="22"/>
    <s v="Laidback Country"/>
    <s v="You and Me on the Rock"/>
    <x v="3"/>
    <n v="0"/>
    <n v="38.349666666666664"/>
    <n v="230098"/>
    <x v="0"/>
    <b v="0"/>
    <s v="Moderate"/>
    <n v="0.56799999999999995"/>
    <x v="0"/>
    <n v="0.68600000000000005"/>
    <n v="1"/>
    <n v="-6.6349999999999998"/>
    <n v="1"/>
    <n v="3.3000000000000002E-2"/>
    <n v="0.15"/>
    <s v="1.81e-06"/>
    <n v="8.8099999999999998E-2"/>
    <n v="0.72499999999999998"/>
    <n v="172.07499999999999"/>
    <n v="4"/>
    <s v="acoustic"/>
  </r>
  <r>
    <s v="1QBNBGeIRRGBnLhdlHbfI8"/>
    <x v="22"/>
    <s v="Chillin' It - Mellow Day Country"/>
    <s v="You and Me on the Rock"/>
    <x v="3"/>
    <n v="0"/>
    <n v="38.349666666666664"/>
    <n v="230098"/>
    <x v="0"/>
    <b v="0"/>
    <s v="Moderate"/>
    <n v="0.56799999999999995"/>
    <x v="0"/>
    <n v="0.68600000000000005"/>
    <n v="1"/>
    <n v="-6.6349999999999998"/>
    <n v="1"/>
    <n v="3.3000000000000002E-2"/>
    <n v="0.15"/>
    <s v="1.81e-06"/>
    <n v="8.8099999999999998E-2"/>
    <n v="0.72499999999999998"/>
    <n v="172.07499999999999"/>
    <n v="4"/>
    <s v="acoustic"/>
  </r>
  <r>
    <s v="72xTsTouZ5nBmASX8k1XCW"/>
    <x v="23"/>
    <s v="Trampoline (Acoustic)"/>
    <s v="Trampoline - Acoustic"/>
    <x v="1"/>
    <n v="46"/>
    <n v="35.516333333333336"/>
    <n v="213098"/>
    <x v="0"/>
    <b v="0"/>
    <s v="Moderate"/>
    <n v="0.59599999999999997"/>
    <x v="1"/>
    <n v="0.2"/>
    <n v="0"/>
    <n v="-10.423999999999999"/>
    <n v="0"/>
    <n v="3.0499999999999999E-2"/>
    <n v="0.91"/>
    <n v="1.83E-4"/>
    <n v="8.8400000000000006E-2"/>
    <n v="0.308"/>
    <n v="107.893"/>
    <n v="4"/>
    <s v="acoustic"/>
  </r>
  <r>
    <s v="3ILmwMefYZoQh5Cf5jeuUQ"/>
    <x v="24"/>
    <s v="Documentary"/>
    <s v="é€æ˜Žã ã£ãŸä¸–ç•Œ"/>
    <x v="0"/>
    <n v="61"/>
    <n v="38.726666666666667"/>
    <n v="232360"/>
    <x v="0"/>
    <b v="0"/>
    <s v="Low"/>
    <n v="0.373"/>
    <x v="2"/>
    <n v="0.91400000000000003"/>
    <n v="0"/>
    <n v="-4.1849999999999996"/>
    <n v="1"/>
    <n v="5.6500000000000002E-2"/>
    <n v="7.5999999999999998E-2"/>
    <n v="0"/>
    <n v="0.66900000000000004"/>
    <n v="0.56000000000000005"/>
    <n v="168.21"/>
    <n v="4"/>
    <s v="acoustic"/>
  </r>
  <r>
    <s v="2DHDuADAHoUW6n0z80RLQF"/>
    <x v="25"/>
    <s v="Black Bear"/>
    <s v="Pieces"/>
    <x v="0"/>
    <n v="60"/>
    <n v="40.186500000000002"/>
    <n v="241119"/>
    <x v="0"/>
    <b v="0"/>
    <s v="Moderate"/>
    <n v="0.49399999999999999"/>
    <x v="0"/>
    <n v="0.65200000000000002"/>
    <n v="6"/>
    <n v="-5.8630000000000004"/>
    <n v="0"/>
    <n v="3.1399999999999997E-2"/>
    <n v="7.5399999999999995E-2"/>
    <n v="2.5600000000000002E-3"/>
    <n v="0.125"/>
    <n v="0.29799999999999999"/>
    <n v="137.018"/>
    <n v="4"/>
    <s v="acoustic"/>
  </r>
  <r>
    <s v="5JDcQAztvZTIkrWoZihgvC"/>
    <x v="26"/>
    <s v="The Bedroom Demos"/>
    <s v="A Drop in the Ocean"/>
    <x v="0"/>
    <n v="68"/>
    <n v="36.706499999999998"/>
    <n v="220239"/>
    <x v="0"/>
    <b v="0"/>
    <s v="Moderate"/>
    <n v="0.44700000000000001"/>
    <x v="1"/>
    <n v="0.39300000000000002"/>
    <n v="5"/>
    <n v="-8.65"/>
    <n v="1"/>
    <n v="3.7999999999999999E-2"/>
    <n v="0.78500000000000003"/>
    <n v="0"/>
    <n v="0.28000000000000003"/>
    <n v="0.56399999999999995"/>
    <n v="73.138999999999996"/>
    <n v="3"/>
    <s v="acoustic"/>
  </r>
  <r>
    <s v="2sYFi9xVSZ56WHKSY2fN1K"/>
    <x v="27"/>
    <s v="So Far Away (Acoustic)"/>
    <s v="So Far Away - Acoustic"/>
    <x v="1"/>
    <n v="52"/>
    <n v="28.590499999999999"/>
    <n v="171543"/>
    <x v="0"/>
    <b v="0"/>
    <s v="Moderate"/>
    <n v="0.57599999999999996"/>
    <x v="1"/>
    <n v="0.33100000000000002"/>
    <n v="6"/>
    <n v="-9.3889999999999993"/>
    <n v="0"/>
    <n v="3.0599999999999999E-2"/>
    <n v="0.89400000000000002"/>
    <s v="3.44e-05"/>
    <n v="0.129"/>
    <n v="0.40699999999999997"/>
    <n v="149.02000000000001"/>
    <n v="4"/>
    <s v="acoustic"/>
  </r>
  <r>
    <s v="6xJOhSm4SvZwzy3uhWz26O"/>
    <x v="25"/>
    <s v="Black Bear"/>
    <s v="The Enemy"/>
    <x v="0"/>
    <n v="62"/>
    <n v="47.810833333333335"/>
    <n v="286865"/>
    <x v="0"/>
    <b v="0"/>
    <s v="Moderate"/>
    <n v="0.53600000000000003"/>
    <x v="2"/>
    <n v="0.89"/>
    <n v="1"/>
    <n v="-5.2220000000000004"/>
    <n v="1"/>
    <n v="3.7499999999999999E-2"/>
    <n v="7.8E-2"/>
    <n v="2.0199999999999999E-2"/>
    <n v="0.13100000000000001"/>
    <n v="0.27300000000000002"/>
    <n v="121.974"/>
    <n v="4"/>
    <s v="acoustic"/>
  </r>
  <r>
    <s v="7lLKxcNeJtDTWVRKHovLEC"/>
    <x v="28"/>
    <s v="Build It Better"/>
    <s v="Build It Better"/>
    <x v="1"/>
    <n v="51"/>
    <n v="39.078833333333336"/>
    <n v="234473"/>
    <x v="0"/>
    <b v="0"/>
    <s v="Moderate"/>
    <n v="0.52600000000000002"/>
    <x v="1"/>
    <n v="0.33300000000000002"/>
    <n v="4"/>
    <n v="-13.02"/>
    <n v="1"/>
    <n v="3.1399999999999997E-2"/>
    <n v="0.91"/>
    <n v="0.16800000000000001"/>
    <n v="0.111"/>
    <n v="0.159"/>
    <n v="94.950999999999993"/>
    <n v="4"/>
    <s v="acoustic"/>
  </r>
  <r>
    <s v="25UzeaV47eDT44Fovve6xQ"/>
    <x v="4"/>
    <s v="Sleepwalking in the Rain"/>
    <s v="Sleepwalking in the Rain"/>
    <x v="3"/>
    <n v="0"/>
    <n v="36"/>
    <n v="216000"/>
    <x v="0"/>
    <b v="0"/>
    <s v="Moderate"/>
    <n v="0.501"/>
    <x v="1"/>
    <n v="0.38100000000000001"/>
    <n v="0"/>
    <n v="-9.4480000000000004"/>
    <n v="1"/>
    <n v="3.5999999999999997E-2"/>
    <n v="0.68700000000000006"/>
    <n v="1.33E-3"/>
    <n v="0.11899999999999999"/>
    <n v="0.502"/>
    <n v="80.075000000000003"/>
    <n v="4"/>
    <s v="acoustic"/>
  </r>
  <r>
    <s v="4oa14QBfWRDfJy2agySy0L"/>
    <x v="29"/>
    <s v="Little Voice"/>
    <s v="Gravity"/>
    <x v="0"/>
    <n v="67"/>
    <n v="38.793333333333337"/>
    <n v="232760"/>
    <x v="0"/>
    <b v="0"/>
    <s v="Low"/>
    <n v="0.27"/>
    <x v="1"/>
    <n v="0.27500000000000002"/>
    <n v="0"/>
    <n v="-10.356999999999999"/>
    <n v="1"/>
    <n v="3.56E-2"/>
    <n v="0.83399999999999996"/>
    <n v="0"/>
    <n v="0.14599999999999999"/>
    <n v="0.23100000000000001"/>
    <n v="168.964"/>
    <n v="4"/>
    <s v="acoustic"/>
  </r>
  <r>
    <s v="2gRKq9rIC5i1zuxp06zJWH"/>
    <x v="4"/>
    <s v="What's Left of You"/>
    <s v="What's Left of You"/>
    <x v="1"/>
    <n v="57"/>
    <n v="29.766666666666666"/>
    <n v="178600"/>
    <x v="0"/>
    <b v="1"/>
    <s v="Very Danceable"/>
    <n v="0.73099999999999998"/>
    <x v="0"/>
    <n v="0.50700000000000001"/>
    <n v="0"/>
    <n v="-6.4770000000000003"/>
    <n v="1"/>
    <n v="4.5999999999999999E-2"/>
    <n v="0.57199999999999995"/>
    <n v="0"/>
    <n v="9.1200000000000003E-2"/>
    <n v="0.26500000000000001"/>
    <n v="117.96899999999999"/>
    <n v="4"/>
    <s v="acoustic"/>
  </r>
  <r>
    <s v="08MFgEQeVLF37EyZ7jcwLc"/>
    <x v="10"/>
    <s v="Pano"/>
    <s v="Pano"/>
    <x v="0"/>
    <n v="75"/>
    <n v="42.4"/>
    <n v="254400"/>
    <x v="0"/>
    <b v="0"/>
    <s v="Low"/>
    <n v="0.375"/>
    <x v="0"/>
    <n v="0.45700000000000002"/>
    <n v="3"/>
    <n v="-7.0179999999999998"/>
    <n v="1"/>
    <n v="3.15E-2"/>
    <n v="0.86799999999999999"/>
    <n v="1.4500000000000001E-2"/>
    <n v="0.191"/>
    <n v="0.41499999999999998"/>
    <n v="174.839"/>
    <n v="3"/>
    <s v="acoustic"/>
  </r>
  <r>
    <s v="6nXIYClvJAfi6ujLiKqEq8"/>
    <x v="25"/>
    <s v="The Daylight EP"/>
    <s v="Sky's Still Blue"/>
    <x v="0"/>
    <n v="62"/>
    <n v="40.72"/>
    <n v="244320"/>
    <x v="0"/>
    <b v="0"/>
    <s v="Moderate"/>
    <n v="0.43"/>
    <x v="2"/>
    <n v="0.79100000000000004"/>
    <n v="6"/>
    <n v="-5.4189999999999996"/>
    <n v="0"/>
    <n v="3.0200000000000001E-2"/>
    <n v="7.2599999999999998E-2"/>
    <n v="1.9300000000000001E-2"/>
    <n v="0.11"/>
    <n v="0.217"/>
    <n v="171.864"/>
    <n v="4"/>
    <s v="acoustic"/>
  </r>
  <r>
    <s v="7x4b0UccXSKBWxWmjcrG2T"/>
    <x v="30"/>
    <s v="Montage Of Heck: The Home Recordings"/>
    <s v="And I Love Her"/>
    <x v="0"/>
    <n v="66"/>
    <n v="20.822166666666668"/>
    <n v="124933"/>
    <x v="0"/>
    <b v="0"/>
    <s v="Moderate"/>
    <n v="0.61599999999999999"/>
    <x v="1"/>
    <n v="0.28199999999999997"/>
    <n v="1"/>
    <n v="-15.317"/>
    <n v="1"/>
    <n v="3.3099999999999997E-2"/>
    <n v="0.98299999999999998"/>
    <n v="0.83299999999999996"/>
    <n v="0.13"/>
    <n v="0.435"/>
    <n v="96.638000000000005"/>
    <n v="4"/>
    <s v="acoustic"/>
  </r>
  <r>
    <s v="6owKuyHxUqidcAA6fPKSyy"/>
    <x v="16"/>
    <s v="Cover Sessions, Vol. 3"/>
    <s v="We Can't Stop"/>
    <x v="0"/>
    <n v="64"/>
    <n v="37.024333333333331"/>
    <n v="222146"/>
    <x v="0"/>
    <b v="0"/>
    <s v="Very Danceable"/>
    <n v="0.70499999999999996"/>
    <x v="1"/>
    <n v="0.34699999999999998"/>
    <n v="2"/>
    <n v="-8.2490000000000006"/>
    <n v="1"/>
    <n v="3.0099999999999998E-2"/>
    <n v="0.67400000000000004"/>
    <n v="0"/>
    <n v="0.12"/>
    <n v="0.36"/>
    <n v="80.057000000000002"/>
    <n v="4"/>
    <s v="acoustic"/>
  </r>
  <r>
    <s v="0wbmIfvndFV9VDvuUY1pYN"/>
    <x v="31"/>
    <s v="Covers"/>
    <s v="Always Be My Baby"/>
    <x v="0"/>
    <n v="62"/>
    <n v="30.308666666666667"/>
    <n v="181852"/>
    <x v="0"/>
    <b v="0"/>
    <s v="Moderate"/>
    <n v="0.58199999999999996"/>
    <x v="1"/>
    <n v="0.255"/>
    <n v="4"/>
    <n v="-10.254"/>
    <n v="1"/>
    <n v="3.0599999999999999E-2"/>
    <n v="0.77200000000000002"/>
    <n v="0"/>
    <n v="8.8900000000000007E-2"/>
    <n v="0.28499999999999998"/>
    <n v="139.88399999999999"/>
    <n v="4"/>
    <s v="acoustic"/>
  </r>
  <r>
    <s v="3e5yu9MkIvQx17mm7LF6KY"/>
    <x v="32"/>
    <s v="Midnight Waves"/>
    <s v="Alone with You"/>
    <x v="1"/>
    <n v="58"/>
    <n v="31.097333333333335"/>
    <n v="186584"/>
    <x v="0"/>
    <b v="0"/>
    <s v="Moderate"/>
    <n v="0.54900000000000004"/>
    <x v="1"/>
    <n v="0.27400000000000002"/>
    <n v="1"/>
    <n v="-12.565"/>
    <n v="1"/>
    <n v="3.7900000000000003E-2"/>
    <n v="0.79800000000000004"/>
    <s v="6.63e-06"/>
    <n v="0.10299999999999999"/>
    <n v="0.20699999999999999"/>
    <n v="86.664000000000001"/>
    <n v="4"/>
    <s v="acoustic"/>
  </r>
  <r>
    <s v="6VwAh8Z1d5YKoSWoEaV4db"/>
    <x v="33"/>
    <s v="Making All Things New"/>
    <s v="Making All Things New"/>
    <x v="0"/>
    <n v="65"/>
    <n v="26.6"/>
    <n v="159600"/>
    <x v="0"/>
    <b v="0"/>
    <s v="Very Danceable"/>
    <n v="0.78700000000000003"/>
    <x v="1"/>
    <n v="0.35499999999999998"/>
    <n v="0"/>
    <n v="-11.429"/>
    <n v="1"/>
    <n v="2.8799999999999999E-2"/>
    <n v="0.89600000000000002"/>
    <n v="2.01E-2"/>
    <n v="0.111"/>
    <n v="0.48"/>
    <n v="99.977999999999994"/>
    <n v="4"/>
    <s v="acoustic"/>
  </r>
  <r>
    <s v="2D4BSm5Z8Hq5zYbSgJwEOh"/>
    <x v="29"/>
    <s v="What's Inside: Songs from Waitress"/>
    <s v="She Used To Be Mine"/>
    <x v="0"/>
    <n v="67"/>
    <n v="41.710999999999999"/>
    <n v="250266"/>
    <x v="0"/>
    <b v="0"/>
    <s v="Low"/>
    <n v="0.39700000000000002"/>
    <x v="1"/>
    <n v="0.30299999999999999"/>
    <n v="5"/>
    <n v="-7.508"/>
    <n v="1"/>
    <n v="4.3499999999999997E-2"/>
    <n v="0.38100000000000001"/>
    <n v="0"/>
    <n v="0.10100000000000001"/>
    <n v="0.17199999999999999"/>
    <n v="81.05"/>
    <n v="4"/>
    <s v="acoustic"/>
  </r>
  <r>
    <s v="7LwGBxB0h0CVmkOZxYKn0g"/>
    <x v="25"/>
    <s v="In My Veins (Feat. Erin Mccarley)"/>
    <s v="In My Veins - Feat. Erin Mccarley"/>
    <x v="0"/>
    <n v="65"/>
    <n v="53.151333333333334"/>
    <n v="318908"/>
    <x v="0"/>
    <b v="0"/>
    <s v="Moderate"/>
    <n v="0.54800000000000004"/>
    <x v="0"/>
    <n v="0.42"/>
    <n v="0"/>
    <n v="-7.8419999999999996"/>
    <n v="1"/>
    <n v="2.7699999999999999E-2"/>
    <n v="0.19800000000000001"/>
    <s v="4.46e-06"/>
    <n v="8.9899999999999994E-2"/>
    <n v="0.19600000000000001"/>
    <n v="128.012"/>
    <n v="4"/>
    <s v="acoustic"/>
  </r>
  <r>
    <s v="0ZwdH0m32I8odedwvspYTh"/>
    <x v="34"/>
    <s v="Under Covers"/>
    <s v="I Don't Wanna Live Forever (Fifty Shades Darker)"/>
    <x v="1"/>
    <n v="44"/>
    <n v="37.058500000000002"/>
    <n v="222351"/>
    <x v="0"/>
    <b v="0"/>
    <s v="Very Danceable"/>
    <n v="0.78700000000000003"/>
    <x v="0"/>
    <n v="0.40300000000000002"/>
    <n v="0"/>
    <n v="-11.989000000000001"/>
    <n v="1"/>
    <n v="3.3000000000000002E-2"/>
    <n v="0.60299999999999998"/>
    <n v="8.5699999999999995E-3"/>
    <n v="0.13100000000000001"/>
    <n v="0.26400000000000001"/>
    <n v="118.042"/>
    <n v="4"/>
    <s v="acoustic"/>
  </r>
  <r>
    <s v="16dkWKIlBsfYTISCVuDs0w"/>
    <x v="26"/>
    <s v="Whatever It Takes"/>
    <s v="A Drop In the Ocean"/>
    <x v="1"/>
    <n v="55"/>
    <n v="36.58"/>
    <n v="219480"/>
    <x v="0"/>
    <b v="0"/>
    <s v="Moderate"/>
    <n v="0.48399999999999999"/>
    <x v="0"/>
    <n v="0.57299999999999995"/>
    <n v="5"/>
    <n v="-6.1829999999999998"/>
    <n v="1"/>
    <n v="2.98E-2"/>
    <n v="8.8200000000000001E-2"/>
    <s v="1.14e-06"/>
    <n v="0.15"/>
    <n v="0.34599999999999997"/>
    <n v="139.96600000000001"/>
    <n v="3"/>
    <s v="acoustic"/>
  </r>
  <r>
    <s v="3TwtrR1yNLY1PMPsrGQpOp"/>
    <x v="35"/>
    <s v="America Town"/>
    <s v="Superman (It's Not Easy)"/>
    <x v="0"/>
    <n v="70"/>
    <n v="36.948833333333333"/>
    <n v="221693"/>
    <x v="0"/>
    <b v="0"/>
    <s v="Low"/>
    <n v="0.38200000000000001"/>
    <x v="0"/>
    <n v="0.41599999999999998"/>
    <n v="0"/>
    <n v="-9.3030000000000008"/>
    <n v="1"/>
    <n v="3.0200000000000001E-2"/>
    <n v="7.3300000000000004E-2"/>
    <n v="0"/>
    <n v="7.1900000000000006E-2"/>
    <n v="0.125"/>
    <n v="102.089"/>
    <n v="4"/>
    <s v="acoustic"/>
  </r>
  <r>
    <s v="3Et4LKZLnXygPYfNdeB3D3"/>
    <x v="25"/>
    <s v="Dive Deep"/>
    <s v="When the End Comes"/>
    <x v="1"/>
    <n v="57"/>
    <n v="59.06666666666667"/>
    <n v="354400"/>
    <x v="0"/>
    <b v="0"/>
    <s v="Moderate"/>
    <n v="0.54100000000000004"/>
    <x v="0"/>
    <n v="0.57499999999999996"/>
    <n v="9"/>
    <n v="-9.4629999999999992"/>
    <n v="1"/>
    <n v="4.9099999999999998E-2"/>
    <n v="0.67700000000000005"/>
    <n v="0.215"/>
    <n v="0.10199999999999999"/>
    <n v="0.42799999999999999"/>
    <n v="91.98"/>
    <n v="4"/>
    <s v="acoustic"/>
  </r>
  <r>
    <s v="2E9viCx0hJKNKNThd2MdGQ"/>
    <x v="36"/>
    <s v="You're Still The One"/>
    <s v="You're Still The One"/>
    <x v="1"/>
    <n v="56"/>
    <n v="29.583333333333332"/>
    <n v="177500"/>
    <x v="0"/>
    <b v="0"/>
    <s v="Moderate"/>
    <n v="0.60699999999999998"/>
    <x v="0"/>
    <n v="0.47299999999999998"/>
    <n v="2"/>
    <n v="-8.5549999999999997"/>
    <n v="1"/>
    <n v="3.4000000000000002E-2"/>
    <n v="0.71199999999999997"/>
    <n v="0"/>
    <n v="0.66"/>
    <n v="0.54"/>
    <n v="119.69799999999999"/>
    <n v="4"/>
    <s v="acoustic"/>
  </r>
  <r>
    <s v="0Zf1BPkkFAWGtVHeBwHHz4"/>
    <x v="37"/>
    <s v="It Doesn't Have To Make Sense"/>
    <s v="Light Me Up"/>
    <x v="1"/>
    <n v="56"/>
    <n v="41.306666666666665"/>
    <n v="247840"/>
    <x v="0"/>
    <b v="0"/>
    <s v="Moderate"/>
    <n v="0.41699999999999998"/>
    <x v="0"/>
    <n v="0.59499999999999997"/>
    <n v="6"/>
    <n v="-7.84"/>
    <n v="1"/>
    <n v="3.9600000000000003E-2"/>
    <n v="0.158"/>
    <n v="2.6899999999999998E-4"/>
    <n v="0.10100000000000001"/>
    <n v="0.11700000000000001"/>
    <n v="147.928"/>
    <n v="4"/>
    <s v="acoustic"/>
  </r>
  <r>
    <s v="38jy6kRlPt8z1GUS9WXeNh"/>
    <x v="7"/>
    <s v="Love Is a Four Letter Word"/>
    <s v="93 Million Miles"/>
    <x v="0"/>
    <n v="67"/>
    <n v="36.06433333333333"/>
    <n v="216386"/>
    <x v="0"/>
    <b v="0"/>
    <s v="Moderate"/>
    <n v="0.57199999999999995"/>
    <x v="0"/>
    <n v="0.45400000000000001"/>
    <n v="3"/>
    <n v="-10.286"/>
    <n v="1"/>
    <n v="2.58E-2"/>
    <n v="0.47699999999999998"/>
    <s v="1.37e-05"/>
    <n v="9.74E-2"/>
    <n v="0.51500000000000001"/>
    <n v="140.18199999999999"/>
    <n v="4"/>
    <s v="acoustic"/>
  </r>
  <r>
    <s v="2SkJKMfjpYsNv0KWOxiegX"/>
    <x v="38"/>
    <s v="When the Morning Comes"/>
    <s v="Kaleidoscope"/>
    <x v="0"/>
    <n v="62"/>
    <n v="38.22"/>
    <n v="229320"/>
    <x v="0"/>
    <b v="0"/>
    <s v="Very Danceable"/>
    <n v="0.70899999999999996"/>
    <x v="2"/>
    <n v="0.91300000000000003"/>
    <n v="7"/>
    <n v="-5.1479999999999997"/>
    <n v="1"/>
    <n v="7.4800000000000005E-2"/>
    <n v="1.8200000000000001E-2"/>
    <n v="0"/>
    <n v="0.16700000000000001"/>
    <n v="0.51900000000000002"/>
    <n v="108.024"/>
    <n v="4"/>
    <s v="acoustic"/>
  </r>
  <r>
    <s v="4qCbMMMuEB56kHd4zPE6GD"/>
    <x v="39"/>
    <s v="Eat, Pray, Love"/>
    <s v="The Long Road"/>
    <x v="1"/>
    <n v="45"/>
    <n v="55.155500000000004"/>
    <n v="330933"/>
    <x v="0"/>
    <b v="0"/>
    <s v="Moderate"/>
    <n v="0.53700000000000003"/>
    <x v="1"/>
    <n v="0.34200000000000003"/>
    <n v="2"/>
    <n v="-13.553000000000001"/>
    <n v="1"/>
    <n v="2.7300000000000001E-2"/>
    <n v="0.64500000000000002"/>
    <n v="0.26600000000000001"/>
    <n v="6.8699999999999997E-2"/>
    <n v="0.253"/>
    <n v="109.236"/>
    <n v="4"/>
    <s v="acoustic"/>
  </r>
  <r>
    <s v="11TK5KLtLZUdKr1C549bAw"/>
    <x v="40"/>
    <s v="Good Light"/>
    <s v="What Would I Do Without You"/>
    <x v="0"/>
    <n v="64"/>
    <n v="28.702166666666667"/>
    <n v="172213"/>
    <x v="0"/>
    <b v="0"/>
    <s v="Moderate"/>
    <n v="0.60199999999999998"/>
    <x v="1"/>
    <n v="0.33600000000000002"/>
    <n v="8"/>
    <n v="-11.106"/>
    <n v="1"/>
    <n v="3.6900000000000002E-2"/>
    <n v="0.88300000000000001"/>
    <n v="1.6999999999999999E-3"/>
    <n v="0.14299999999999999"/>
    <n v="0.33500000000000002"/>
    <n v="90.894000000000005"/>
    <n v="4"/>
    <s v="acoustic"/>
  </r>
  <r>
    <s v="7BXW1QCg56yzEBV8pW8pah"/>
    <x v="7"/>
    <s v="Know."/>
    <s v="Have It All"/>
    <x v="0"/>
    <n v="65"/>
    <n v="37.684333333333335"/>
    <n v="226106"/>
    <x v="0"/>
    <b v="0"/>
    <s v="Moderate"/>
    <n v="0.64300000000000002"/>
    <x v="0"/>
    <n v="0.63800000000000001"/>
    <n v="1"/>
    <n v="-4.9470000000000001"/>
    <n v="0"/>
    <n v="4.07E-2"/>
    <n v="0.20399999999999999"/>
    <n v="0"/>
    <n v="7.0699999999999999E-2"/>
    <n v="0.6"/>
    <n v="82.001000000000005"/>
    <n v="4"/>
    <s v="acoustic"/>
  </r>
  <r>
    <s v="2kMrCPZ0o5gErBPLCRgoli"/>
    <x v="41"/>
    <s v="Mellow Adult Pop"/>
    <s v="Heavy Heart"/>
    <x v="3"/>
    <n v="0"/>
    <n v="39.195500000000003"/>
    <n v="235173"/>
    <x v="0"/>
    <b v="0"/>
    <s v="Moderate"/>
    <n v="0.45100000000000001"/>
    <x v="2"/>
    <n v="0.7"/>
    <n v="10"/>
    <n v="-6.5970000000000004"/>
    <n v="0"/>
    <n v="4.3099999999999999E-2"/>
    <n v="0.45500000000000002"/>
    <n v="2.33E-3"/>
    <n v="0.40500000000000003"/>
    <n v="0.37"/>
    <n v="150.05500000000001"/>
    <n v="4"/>
    <s v="acoustic"/>
  </r>
  <r>
    <s v="5IjTZ1g8KrIuV97N3OQZ0V"/>
    <x v="41"/>
    <s v="Break Up Songs"/>
    <s v="The House We Never Built"/>
    <x v="3"/>
    <n v="0"/>
    <n v="32.535499999999999"/>
    <n v="195213"/>
    <x v="0"/>
    <b v="0"/>
    <s v="Moderate"/>
    <n v="0.54600000000000004"/>
    <x v="1"/>
    <n v="0.39100000000000001"/>
    <n v="2"/>
    <n v="-10.786"/>
    <n v="0"/>
    <n v="6.3E-2"/>
    <n v="0.78400000000000003"/>
    <s v="2.72e-06"/>
    <n v="5.5199999999999999E-2"/>
    <n v="0.20200000000000001"/>
    <n v="139.66900000000001"/>
    <n v="4"/>
    <s v="acoustic"/>
  </r>
  <r>
    <s v="3bHhUEOTIbezeZ856R0BX5"/>
    <x v="21"/>
    <s v="Into The Wild (Music For The Motion Picture)"/>
    <s v="Society"/>
    <x v="0"/>
    <n v="68"/>
    <n v="39.384333333333331"/>
    <n v="236306"/>
    <x v="0"/>
    <b v="0"/>
    <s v="Moderate"/>
    <n v="0.56100000000000005"/>
    <x v="1"/>
    <n v="0.32700000000000001"/>
    <n v="11"/>
    <n v="-10.835000000000001"/>
    <n v="0"/>
    <n v="3.27E-2"/>
    <n v="0.90200000000000002"/>
    <n v="4.6900000000000002E-4"/>
    <n v="0.111"/>
    <n v="0.29799999999999999"/>
    <n v="161.858"/>
    <n v="4"/>
    <s v="acoustic"/>
  </r>
  <r>
    <s v="0wf17wsLRwnnfh241GkeH5"/>
    <x v="41"/>
    <s v="u don't deserve me"/>
    <s v="Please Don't Say You Love Me"/>
    <x v="3"/>
    <n v="0"/>
    <n v="30.233333333333334"/>
    <n v="181400"/>
    <x v="0"/>
    <b v="0"/>
    <s v="Moderate"/>
    <n v="0.47899999999999998"/>
    <x v="0"/>
    <n v="0.54100000000000004"/>
    <n v="0"/>
    <n v="-9.8620000000000001"/>
    <n v="1"/>
    <n v="5.4300000000000001E-2"/>
    <n v="0.74"/>
    <n v="0"/>
    <n v="0.108"/>
    <n v="0.3"/>
    <n v="85.994"/>
    <n v="4"/>
    <s v="acoustic"/>
  </r>
  <r>
    <s v="3322ArxAq7wCSZI4fF77Q0"/>
    <x v="41"/>
    <s v="Coffee Moment"/>
    <s v="Please Don't Say You Love Me"/>
    <x v="3"/>
    <n v="0"/>
    <n v="30.233333333333334"/>
    <n v="181400"/>
    <x v="0"/>
    <b v="0"/>
    <s v="Moderate"/>
    <n v="0.47899999999999998"/>
    <x v="0"/>
    <n v="0.54100000000000004"/>
    <n v="0"/>
    <n v="-9.8620000000000001"/>
    <n v="1"/>
    <n v="5.4300000000000001E-2"/>
    <n v="0.74"/>
    <n v="0"/>
    <n v="0.108"/>
    <n v="0.3"/>
    <n v="85.994"/>
    <n v="4"/>
    <s v="acoustic"/>
  </r>
  <r>
    <s v="4LGF2tDg3878bs0mQPByZ4"/>
    <x v="21"/>
    <s v="Into The Wild (Music For The Motion Picture)"/>
    <s v="Guaranteed"/>
    <x v="0"/>
    <n v="61"/>
    <n v="27.416666666666668"/>
    <n v="164500"/>
    <x v="0"/>
    <b v="0"/>
    <s v="Moderate"/>
    <n v="0.436"/>
    <x v="0"/>
    <n v="0.4"/>
    <n v="7"/>
    <n v="-11.484999999999999"/>
    <n v="1"/>
    <n v="2.7199999999999998E-2"/>
    <n v="0.90400000000000003"/>
    <n v="1.0499999999999999E-3"/>
    <n v="0.125"/>
    <n v="0.35099999999999998"/>
    <n v="100.73399999999999"/>
    <n v="4"/>
    <s v="acoustic"/>
  </r>
  <r>
    <s v="6Uy6K3KdmUdAfelUp0SeXn"/>
    <x v="29"/>
    <s v="The Blessed Unrest"/>
    <s v="Brave"/>
    <x v="0"/>
    <n v="70"/>
    <n v="36.762166666666666"/>
    <n v="220573"/>
    <x v="0"/>
    <b v="0"/>
    <s v="Moderate"/>
    <n v="0.55100000000000005"/>
    <x v="2"/>
    <n v="0.83599999999999997"/>
    <n v="10"/>
    <n v="-3.8380000000000001"/>
    <n v="0"/>
    <n v="5.2400000000000002E-2"/>
    <n v="5.0200000000000002E-3"/>
    <s v="2.1e-05"/>
    <n v="4.2500000000000003E-2"/>
    <n v="0.75800000000000001"/>
    <n v="185.06299999999999"/>
    <n v="4"/>
    <s v="acoustic"/>
  </r>
  <r>
    <s v="2z2JKNU24UEngb4joR9p8f"/>
    <x v="19"/>
    <s v="Slow Christmas Songs 2022"/>
    <s v="Lonely This Christmas"/>
    <x v="3"/>
    <n v="0"/>
    <n v="42.915500000000002"/>
    <n v="257493"/>
    <x v="0"/>
    <b v="0"/>
    <s v="Moderate"/>
    <n v="0.40899999999999997"/>
    <x v="1"/>
    <n v="0.153"/>
    <n v="6"/>
    <n v="-10.74"/>
    <n v="0"/>
    <n v="3.0599999999999999E-2"/>
    <n v="0.93899999999999995"/>
    <s v="2.56e-05"/>
    <n v="0.108"/>
    <n v="0.18"/>
    <n v="85.262"/>
    <n v="4"/>
    <s v="acoustic"/>
  </r>
  <r>
    <s v="2nef44o0sjJDKB1ta4S0ub"/>
    <x v="19"/>
    <s v="Lonely Christmas 2022"/>
    <s v="Lonely This Christmas"/>
    <x v="3"/>
    <n v="0"/>
    <n v="42.915500000000002"/>
    <n v="257493"/>
    <x v="0"/>
    <b v="0"/>
    <s v="Moderate"/>
    <n v="0.40899999999999997"/>
    <x v="1"/>
    <n v="0.153"/>
    <n v="6"/>
    <n v="-10.74"/>
    <n v="0"/>
    <n v="3.0599999999999999E-2"/>
    <n v="0.93899999999999995"/>
    <s v="2.56e-05"/>
    <n v="0.108"/>
    <n v="0.18"/>
    <n v="85.262"/>
    <n v="4"/>
    <s v="acoustic"/>
  </r>
  <r>
    <s v="0qJGlogD7AyMLAJfQ42aI2"/>
    <x v="35"/>
    <s v="Bookmarks"/>
    <s v="Heaven Knows"/>
    <x v="0"/>
    <n v="62"/>
    <n v="35.101999999999997"/>
    <n v="210612"/>
    <x v="0"/>
    <b v="0"/>
    <s v="Moderate"/>
    <n v="0.6"/>
    <x v="2"/>
    <n v="0.84499999999999997"/>
    <n v="10"/>
    <n v="-7.0759999999999996"/>
    <n v="1"/>
    <n v="3.1099999999999999E-2"/>
    <n v="4.8000000000000001E-2"/>
    <n v="0"/>
    <n v="0.24"/>
    <n v="0.39200000000000002"/>
    <n v="97.631"/>
    <n v="4"/>
    <s v="acoustic"/>
  </r>
  <r>
    <s v="04JS6OitE9VGsIS3S94Osg"/>
    <x v="42"/>
    <s v="Slow Christmas Songs 2022"/>
    <s v="I Heard The Bells On Christmas Day"/>
    <x v="3"/>
    <n v="0"/>
    <n v="25.74"/>
    <n v="154440"/>
    <x v="0"/>
    <b v="0"/>
    <s v="Moderate"/>
    <n v="0.49199999999999999"/>
    <x v="1"/>
    <n v="0.14499999999999999"/>
    <n v="2"/>
    <n v="-14.504"/>
    <n v="0"/>
    <n v="4.2200000000000001E-2"/>
    <n v="0.872"/>
    <s v="9.68e-06"/>
    <n v="0.107"/>
    <n v="0.218"/>
    <n v="90.078000000000003"/>
    <n v="4"/>
    <s v="acoustic"/>
  </r>
  <r>
    <s v="5OGpsZeJRZ3t3MZioawcZW"/>
    <x v="42"/>
    <s v="Alternative Christmas 2022"/>
    <s v="I Heard The Bells On Christmas Day"/>
    <x v="3"/>
    <n v="0"/>
    <n v="25.74"/>
    <n v="154440"/>
    <x v="0"/>
    <b v="0"/>
    <s v="Moderate"/>
    <n v="0.49199999999999999"/>
    <x v="1"/>
    <n v="0.14499999999999999"/>
    <n v="2"/>
    <n v="-14.504"/>
    <n v="0"/>
    <n v="4.2200000000000001E-2"/>
    <n v="0.872"/>
    <s v="9.68e-06"/>
    <n v="0.107"/>
    <n v="0.218"/>
    <n v="90.078000000000003"/>
    <n v="4"/>
    <s v="acoustic"/>
  </r>
  <r>
    <s v="3Vnes7v746dYzBn0FJTZ1W"/>
    <x v="19"/>
    <s v="Alternative Christmas 2022"/>
    <s v="Fairytale Of New York"/>
    <x v="3"/>
    <n v="0"/>
    <n v="43.977666666666664"/>
    <n v="263866"/>
    <x v="0"/>
    <b v="0"/>
    <s v="Moderate"/>
    <n v="0.44700000000000001"/>
    <x v="0"/>
    <n v="0.55500000000000005"/>
    <n v="2"/>
    <n v="-6.0179999999999998"/>
    <n v="1"/>
    <n v="3.49E-2"/>
    <n v="0.218"/>
    <s v="3.46e-06"/>
    <n v="0.124"/>
    <n v="0.33"/>
    <n v="117.88800000000001"/>
    <n v="3"/>
    <s v="acoustic"/>
  </r>
  <r>
    <s v="30cYWLpVdBZVLb1cYdmcTT"/>
    <x v="42"/>
    <s v="Acoustic Christmas Campfire"/>
    <s v="I Heard The Bells On Christmas Day"/>
    <x v="3"/>
    <n v="0"/>
    <n v="25.74"/>
    <n v="154440"/>
    <x v="0"/>
    <b v="0"/>
    <s v="Moderate"/>
    <n v="0.49199999999999999"/>
    <x v="1"/>
    <n v="0.14499999999999999"/>
    <n v="2"/>
    <n v="-14.504"/>
    <n v="0"/>
    <n v="4.2200000000000001E-2"/>
    <n v="0.872"/>
    <s v="9.68e-06"/>
    <n v="0.107"/>
    <n v="0.218"/>
    <n v="90.078000000000003"/>
    <n v="4"/>
    <s v="acoustic"/>
  </r>
  <r>
    <s v="7sUqJ51FGSi3n7x4pYjY3v"/>
    <x v="42"/>
    <s v="Lonely Christmas 2022"/>
    <s v="I Heard The Bells On Christmas Day"/>
    <x v="3"/>
    <n v="0"/>
    <n v="25.74"/>
    <n v="154440"/>
    <x v="0"/>
    <b v="0"/>
    <s v="Moderate"/>
    <n v="0.49199999999999999"/>
    <x v="1"/>
    <n v="0.14499999999999999"/>
    <n v="2"/>
    <n v="-14.504"/>
    <n v="0"/>
    <n v="4.2200000000000001E-2"/>
    <n v="0.872"/>
    <s v="9.68e-06"/>
    <n v="0.107"/>
    <n v="0.218"/>
    <n v="90.078000000000003"/>
    <n v="4"/>
    <s v="acoustic"/>
  </r>
  <r>
    <s v="15BFn2VmEtonsXfNL1lUmy"/>
    <x v="42"/>
    <s v="Chill Christmas Dinner"/>
    <s v="I Heard The Bells On Christmas Day"/>
    <x v="3"/>
    <n v="0"/>
    <n v="25.74"/>
    <n v="154440"/>
    <x v="0"/>
    <b v="0"/>
    <s v="Moderate"/>
    <n v="0.49199999999999999"/>
    <x v="1"/>
    <n v="0.14499999999999999"/>
    <n v="2"/>
    <n v="-14.504"/>
    <n v="0"/>
    <n v="4.2200000000000001E-2"/>
    <n v="0.872"/>
    <s v="9.68e-06"/>
    <n v="0.107"/>
    <n v="0.218"/>
    <n v="90.078000000000003"/>
    <n v="4"/>
    <s v="acoustic"/>
  </r>
  <r>
    <s v="0WOFJR54wyTwLB11jcBDb1"/>
    <x v="42"/>
    <s v="sadsadchristmas"/>
    <s v="I Heard The Bells On Christmas Day"/>
    <x v="3"/>
    <n v="0"/>
    <n v="25.74"/>
    <n v="154440"/>
    <x v="0"/>
    <b v="0"/>
    <s v="Moderate"/>
    <n v="0.49199999999999999"/>
    <x v="1"/>
    <n v="0.14499999999999999"/>
    <n v="2"/>
    <n v="-14.504"/>
    <n v="0"/>
    <n v="4.2200000000000001E-2"/>
    <n v="0.872"/>
    <s v="9.68e-06"/>
    <n v="0.107"/>
    <n v="0.218"/>
    <n v="90.078000000000003"/>
    <n v="4"/>
    <s v="acoustic"/>
  </r>
  <r>
    <s v="1uDCw6LVMOmbZ6zRliNcNX"/>
    <x v="42"/>
    <s v="Christmas Country Songs 2022"/>
    <s v="I Heard The Bells On Christmas Day"/>
    <x v="3"/>
    <n v="0"/>
    <n v="25.74"/>
    <n v="154440"/>
    <x v="0"/>
    <b v="0"/>
    <s v="Moderate"/>
    <n v="0.49199999999999999"/>
    <x v="1"/>
    <n v="0.14499999999999999"/>
    <n v="2"/>
    <n v="-14.504"/>
    <n v="0"/>
    <n v="4.2200000000000001E-2"/>
    <n v="0.872"/>
    <s v="9.68e-06"/>
    <n v="0.107"/>
    <n v="0.218"/>
    <n v="90.078000000000003"/>
    <n v="4"/>
    <s v="acoustic"/>
  </r>
  <r>
    <s v="7DYsBLdOqz0z14tYWMt2Tn"/>
    <x v="19"/>
    <s v="Del gusto de mamÃ¡"/>
    <s v="Hold On"/>
    <x v="3"/>
    <n v="0"/>
    <n v="29.602166666666665"/>
    <n v="177613"/>
    <x v="0"/>
    <b v="0"/>
    <s v="Moderate"/>
    <n v="0.66100000000000003"/>
    <x v="2"/>
    <n v="0.93700000000000006"/>
    <n v="4"/>
    <n v="-5.157"/>
    <n v="0"/>
    <n v="9.7900000000000001E-2"/>
    <n v="0.32200000000000001"/>
    <s v="1.04e-06"/>
    <n v="0.19"/>
    <n v="0.80500000000000005"/>
    <n v="105.54900000000001"/>
    <n v="4"/>
    <s v="acoustic"/>
  </r>
  <r>
    <s v="7cPuE0M35EajWPRO3nRcH8"/>
    <x v="19"/>
    <s v="OO's Music Grandi Successi"/>
    <s v="Suddenly I See"/>
    <x v="3"/>
    <n v="0"/>
    <n v="33.173333333333332"/>
    <n v="199040"/>
    <x v="0"/>
    <b v="0"/>
    <s v="Moderate"/>
    <n v="0.60299999999999998"/>
    <x v="2"/>
    <n v="0.78"/>
    <n v="0"/>
    <n v="-5.5309999999999997"/>
    <n v="1"/>
    <n v="4.3799999999999999E-2"/>
    <n v="0.13900000000000001"/>
    <n v="0"/>
    <n v="0.16400000000000001"/>
    <n v="0.69299999999999995"/>
    <n v="100.499"/>
    <n v="4"/>
    <s v="acoustic"/>
  </r>
  <r>
    <s v="0U32q8CZRRo7xCzyiaZw5f"/>
    <x v="24"/>
    <s v="è¨€ãƒŽè‘‰"/>
    <s v="Rain"/>
    <x v="1"/>
    <n v="58"/>
    <n v="48.84"/>
    <n v="293040"/>
    <x v="0"/>
    <b v="0"/>
    <s v="Moderate"/>
    <n v="0.626"/>
    <x v="0"/>
    <n v="0.65500000000000003"/>
    <n v="9"/>
    <n v="-6.69"/>
    <n v="1"/>
    <n v="2.63E-2"/>
    <n v="0.503"/>
    <n v="0"/>
    <n v="0.13"/>
    <n v="0.54200000000000004"/>
    <n v="92.003"/>
    <n v="4"/>
    <s v="acoustic"/>
  </r>
  <r>
    <s v="4kQXMVjoZ9yMibLZq5Aqi5"/>
    <x v="43"/>
    <s v="Somebody Else (Acoustic)"/>
    <s v="Somebody Else - Acoustic"/>
    <x v="1"/>
    <n v="50"/>
    <n v="23.0825"/>
    <n v="138495"/>
    <x v="0"/>
    <b v="0"/>
    <s v="Very Danceable"/>
    <n v="0.79400000000000004"/>
    <x v="1"/>
    <n v="0.38"/>
    <n v="10"/>
    <n v="-8.7690000000000001"/>
    <n v="0"/>
    <n v="4.7699999999999999E-2"/>
    <n v="0.76200000000000001"/>
    <n v="0"/>
    <n v="0.26200000000000001"/>
    <n v="0.61699999999999999"/>
    <n v="114.99"/>
    <n v="4"/>
    <s v="acoustic"/>
  </r>
  <r>
    <s v="3us8sod4dLbM9FiMiPiEY8"/>
    <x v="25"/>
    <s v="Black Bear (Hushed)"/>
    <s v="Pieces (Hushed)"/>
    <x v="1"/>
    <n v="59"/>
    <n v="33.104333333333336"/>
    <n v="198626"/>
    <x v="0"/>
    <b v="0"/>
    <s v="Moderate"/>
    <n v="0.52"/>
    <x v="1"/>
    <n v="0.27900000000000003"/>
    <n v="5"/>
    <n v="-10.739000000000001"/>
    <n v="0"/>
    <n v="5.4699999999999999E-2"/>
    <n v="0.89400000000000002"/>
    <n v="1.05E-4"/>
    <n v="0.10299999999999999"/>
    <n v="9.5100000000000004E-2"/>
    <n v="69.641999999999996"/>
    <n v="4"/>
    <s v="acoustic"/>
  </r>
  <r>
    <s v="1PR5pyPiOEEQ02oJYq402x"/>
    <x v="44"/>
    <s v="Cover Sessions, Vol. 3"/>
    <s v="Mirrors"/>
    <x v="1"/>
    <n v="57"/>
    <n v="48.761000000000003"/>
    <n v="292566"/>
    <x v="0"/>
    <b v="0"/>
    <s v="Moderate"/>
    <n v="0.54500000000000004"/>
    <x v="0"/>
    <n v="0.65800000000000003"/>
    <n v="1"/>
    <n v="-7.1740000000000004"/>
    <n v="1"/>
    <n v="4.7399999999999998E-2"/>
    <n v="0.496"/>
    <n v="0"/>
    <n v="0.105"/>
    <n v="0.68300000000000005"/>
    <n v="76.971000000000004"/>
    <n v="4"/>
    <s v="acoustic"/>
  </r>
  <r>
    <s v="068qo0w1Ki0cjnFYOUhAm2"/>
    <x v="45"/>
    <s v="Stand by Me"/>
    <s v="Stand by Me"/>
    <x v="0"/>
    <n v="60"/>
    <n v="33.169833333333337"/>
    <n v="199019"/>
    <x v="0"/>
    <b v="0"/>
    <s v="Very Danceable"/>
    <n v="0.72799999999999998"/>
    <x v="1"/>
    <n v="0.26600000000000001"/>
    <n v="8"/>
    <n v="-7.3220000000000001"/>
    <n v="1"/>
    <n v="2.93E-2"/>
    <n v="0.872"/>
    <s v="1.03e-05"/>
    <n v="0.114"/>
    <n v="0.307"/>
    <n v="115.18899999999999"/>
    <n v="4"/>
    <s v="acoustic"/>
  </r>
  <r>
    <s v="2RFt6ZWQbr9mPhsft9u9eX"/>
    <x v="46"/>
    <s v="Dear Happy"/>
    <s v="Losing Me"/>
    <x v="0"/>
    <n v="61"/>
    <n v="30.293333333333333"/>
    <n v="181760"/>
    <x v="0"/>
    <b v="0"/>
    <s v="Moderate"/>
    <n v="0.66"/>
    <x v="0"/>
    <n v="0.40699999999999997"/>
    <n v="7"/>
    <n v="-8.3810000000000002"/>
    <n v="1"/>
    <n v="5.7099999999999998E-2"/>
    <n v="0.23599999999999999"/>
    <n v="0"/>
    <n v="0.109"/>
    <n v="0.25700000000000001"/>
    <n v="133.86000000000001"/>
    <n v="4"/>
    <s v="acoustic"/>
  </r>
  <r>
    <s v="59pUIlXjQupbiYwt40uUTi"/>
    <x v="47"/>
    <s v="chouchou"/>
    <s v="ãªã‚“ã§ã‚‚ãªã„ã‚„ - movie ver."/>
    <x v="1"/>
    <n v="49"/>
    <n v="58.32"/>
    <n v="349920"/>
    <x v="0"/>
    <b v="0"/>
    <s v="Low"/>
    <n v="0.35699999999999998"/>
    <x v="1"/>
    <n v="0.161"/>
    <n v="8"/>
    <n v="-10.667"/>
    <n v="1"/>
    <n v="3.8800000000000001E-2"/>
    <n v="0.97099999999999997"/>
    <s v="1.4e-05"/>
    <n v="0.35799999999999998"/>
    <n v="0.32500000000000001"/>
    <n v="83.448999999999998"/>
    <n v="4"/>
    <s v="acoustic"/>
  </r>
  <r>
    <s v="0VhZ5JYfqPojSYeGWnk4dL"/>
    <x v="48"/>
    <s v="Youâ€™re Beautiful (Acoustic)"/>
    <s v="Youâ€™re Beautiful - Acoustic"/>
    <x v="1"/>
    <n v="55"/>
    <n v="34.162166666666664"/>
    <n v="204973"/>
    <x v="0"/>
    <b v="0"/>
    <s v="Moderate"/>
    <n v="0.47899999999999998"/>
    <x v="1"/>
    <n v="0.154"/>
    <n v="2"/>
    <n v="-11.282"/>
    <n v="1"/>
    <n v="3.5200000000000002E-2"/>
    <n v="0.91500000000000004"/>
    <n v="0"/>
    <n v="9.74E-2"/>
    <n v="0.36"/>
    <n v="147.20699999999999"/>
    <n v="4"/>
    <s v="acoustic"/>
  </r>
  <r>
    <s v="0ltIx8PLjtWoS9zn9PqsZW"/>
    <x v="49"/>
    <s v="Hikare Inochi"/>
    <s v="Hikare Inochi"/>
    <x v="1"/>
    <n v="51"/>
    <n v="53.691000000000003"/>
    <n v="322146"/>
    <x v="0"/>
    <b v="0"/>
    <s v="Moderate"/>
    <n v="0.59199999999999997"/>
    <x v="2"/>
    <n v="0.76900000000000002"/>
    <n v="2"/>
    <n v="-5.2679999999999998"/>
    <n v="1"/>
    <n v="3.1099999999999999E-2"/>
    <n v="0.31900000000000001"/>
    <s v="4.66e-06"/>
    <n v="0.13700000000000001"/>
    <n v="0.38500000000000001"/>
    <n v="102.033"/>
    <n v="4"/>
    <s v="acoustic"/>
  </r>
  <r>
    <s v="7ACW42whcdOiUxiNVu7ltx"/>
    <x v="34"/>
    <s v="Songs From Nashville"/>
    <s v="How To Lose a Girl"/>
    <x v="1"/>
    <n v="46"/>
    <n v="35.0625"/>
    <n v="210375"/>
    <x v="0"/>
    <b v="0"/>
    <s v="Very Danceable"/>
    <n v="0.7"/>
    <x v="0"/>
    <n v="0.45400000000000001"/>
    <n v="7"/>
    <n v="-10.39"/>
    <n v="0"/>
    <n v="3.8800000000000001E-2"/>
    <n v="0.55000000000000004"/>
    <n v="2.2000000000000001E-3"/>
    <n v="0.121"/>
    <n v="0.34"/>
    <n v="80.010999999999996"/>
    <n v="3"/>
    <s v="acoustic"/>
  </r>
  <r>
    <s v="4qTHoIp62ngNDpUJwW3hZ7"/>
    <x v="45"/>
    <s v="Cover Sessions, Vol. 6"/>
    <s v="Canâ€™t Help Falling in Love"/>
    <x v="1"/>
    <n v="57"/>
    <n v="21.833333333333332"/>
    <n v="131000"/>
    <x v="0"/>
    <b v="0"/>
    <s v="Moderate"/>
    <n v="0.40200000000000002"/>
    <x v="1"/>
    <n v="0.19700000000000001"/>
    <n v="5"/>
    <n v="-10.775"/>
    <n v="1"/>
    <n v="2.9499999999999998E-2"/>
    <n v="0.85799999999999998"/>
    <s v="1.05e-06"/>
    <n v="0.114"/>
    <n v="0.14799999999999999"/>
    <n v="100.044"/>
    <n v="3"/>
    <s v="acoustic"/>
  </r>
  <r>
    <s v="4VbDTk82rqWqVgoQC93CkC"/>
    <x v="25"/>
    <s v="Dive Deep (Hushed)"/>
    <s v="Dive Deep (Hushed)"/>
    <x v="1"/>
    <n v="58"/>
    <n v="36.421833333333332"/>
    <n v="218531"/>
    <x v="0"/>
    <b v="0"/>
    <s v="Moderate"/>
    <n v="0.50700000000000001"/>
    <x v="1"/>
    <n v="0.378"/>
    <n v="9"/>
    <n v="-9.0190000000000001"/>
    <n v="1"/>
    <n v="3.32E-2"/>
    <n v="0.85199999999999998"/>
    <n v="2.12E-4"/>
    <n v="9.3700000000000006E-2"/>
    <n v="8.5000000000000006E-2"/>
    <n v="135.86000000000001"/>
    <n v="4"/>
    <s v="acoustic"/>
  </r>
  <r>
    <s v="1pG5nd6gmfbMwUfT5shDQe"/>
    <x v="1"/>
    <s v="When the Party's over (Acoustic Piano)"/>
    <s v="When the Party's over (Acoustic Piano)"/>
    <x v="1"/>
    <n v="51"/>
    <n v="32.657499999999999"/>
    <n v="195945"/>
    <x v="0"/>
    <b v="0"/>
    <s v="Moderate"/>
    <n v="0.61899999999999999"/>
    <x v="1"/>
    <n v="0.22600000000000001"/>
    <n v="4"/>
    <n v="-13.452999999999999"/>
    <n v="1"/>
    <n v="6.4100000000000004E-2"/>
    <n v="0.95899999999999996"/>
    <s v="4.42e-05"/>
    <n v="0.106"/>
    <n v="0.188"/>
    <n v="124.96"/>
    <n v="3"/>
    <s v="acoustic"/>
  </r>
  <r>
    <s v="2WZyfujzMweFLnozyUJBkW"/>
    <x v="50"/>
    <s v="All The Stars and Boulevards"/>
    <s v="Boston"/>
    <x v="0"/>
    <n v="63"/>
    <n v="40.988833333333332"/>
    <n v="245933"/>
    <x v="0"/>
    <b v="0"/>
    <s v="Moderate"/>
    <n v="0.40400000000000003"/>
    <x v="0"/>
    <n v="0.57099999999999995"/>
    <n v="0"/>
    <n v="-5.069"/>
    <n v="1"/>
    <n v="3.0300000000000001E-2"/>
    <n v="0.182"/>
    <s v="2.08e-05"/>
    <n v="0.129"/>
    <n v="0.28999999999999998"/>
    <n v="147.01"/>
    <n v="4"/>
    <s v="acoustic"/>
  </r>
  <r>
    <s v="6gijbGNDNNJgT60Aj7UCyc"/>
    <x v="51"/>
    <s v="Living in the Shadows"/>
    <s v="Living in the Shadows"/>
    <x v="1"/>
    <n v="53"/>
    <n v="35.397666666666666"/>
    <n v="212386"/>
    <x v="0"/>
    <b v="0"/>
    <s v="Moderate"/>
    <n v="0.41799999999999998"/>
    <x v="2"/>
    <n v="0.79"/>
    <n v="4"/>
    <n v="-6.5990000000000002"/>
    <n v="0"/>
    <n v="5.0599999999999999E-2"/>
    <n v="2.8400000000000002E-2"/>
    <s v="9.96e-06"/>
    <n v="0.11700000000000001"/>
    <n v="0.19700000000000001"/>
    <n v="175.97499999999999"/>
    <n v="4"/>
    <s v="acoustic"/>
  </r>
  <r>
    <s v="5pq4v03P5PxMcnCagg4S3Z"/>
    <x v="45"/>
    <s v="Cover Sessions, Vol. 4"/>
    <s v="In Case You Didnâ€™t Know"/>
    <x v="0"/>
    <n v="60"/>
    <n v="37.527500000000003"/>
    <n v="225165"/>
    <x v="0"/>
    <b v="0"/>
    <s v="Moderate"/>
    <n v="0.63300000000000001"/>
    <x v="1"/>
    <n v="0.29899999999999999"/>
    <n v="11"/>
    <n v="-7.798"/>
    <n v="1"/>
    <n v="3.5299999999999998E-2"/>
    <n v="0.83299999999999996"/>
    <n v="0"/>
    <n v="0.109"/>
    <n v="0.34100000000000003"/>
    <n v="147.54900000000001"/>
    <n v="4"/>
    <s v="acoustic"/>
  </r>
  <r>
    <s v="08OjvLnGR3M0HUhcePeMNO"/>
    <x v="15"/>
    <s v="death bed (coffee for your head)"/>
    <s v="death bed (coffee for your head)"/>
    <x v="1"/>
    <n v="47"/>
    <n v="18.667999999999999"/>
    <n v="112008"/>
    <x v="0"/>
    <b v="0"/>
    <s v="Moderate"/>
    <n v="0.56499999999999995"/>
    <x v="1"/>
    <n v="3.9199999999999999E-2"/>
    <n v="1"/>
    <n v="-28.276"/>
    <n v="1"/>
    <n v="4.4999999999999998E-2"/>
    <n v="0.83499999999999996"/>
    <n v="0.183"/>
    <n v="0.11700000000000001"/>
    <n v="0.60099999999999998"/>
    <n v="125.399"/>
    <n v="4"/>
    <s v="acoustic"/>
  </r>
  <r>
    <s v="65VhbQdqvozUntjnlFkFbZ"/>
    <x v="3"/>
    <s v="You Are My Sunshine"/>
    <s v="You Are My Sunshine"/>
    <x v="0"/>
    <n v="60"/>
    <n v="20.601500000000001"/>
    <n v="123609"/>
    <x v="0"/>
    <b v="0"/>
    <s v="Moderate"/>
    <n v="0.66400000000000003"/>
    <x v="1"/>
    <n v="7.5499999999999998E-2"/>
    <n v="10"/>
    <n v="-19.835999999999999"/>
    <n v="1"/>
    <n v="3.8899999999999997E-2"/>
    <n v="0.91"/>
    <n v="0"/>
    <n v="0.16400000000000001"/>
    <n v="0.57499999999999996"/>
    <n v="80.004000000000005"/>
    <n v="1"/>
    <s v="acoustic"/>
  </r>
  <r>
    <s v="05pKAafT85jeeNhZ6kq7HT"/>
    <x v="7"/>
    <s v="I Won't Give Up"/>
    <s v="I Won't Give Up"/>
    <x v="0"/>
    <n v="66"/>
    <n v="40.027500000000003"/>
    <n v="240165"/>
    <x v="0"/>
    <b v="0"/>
    <s v="Moderate"/>
    <n v="0.58499999999999996"/>
    <x v="1"/>
    <n v="0.30299999999999999"/>
    <n v="4"/>
    <n v="-10.058"/>
    <n v="1"/>
    <n v="3.9800000000000002E-2"/>
    <n v="0.69399999999999995"/>
    <n v="0"/>
    <n v="0.115"/>
    <n v="0.14199999999999999"/>
    <n v="136.703"/>
    <n v="3"/>
    <s v="acoustic"/>
  </r>
  <r>
    <s v="3PG6V5yuFfo4APiovOQoRv"/>
    <x v="52"/>
    <s v="I Was Born To Love You"/>
    <s v="I Was Born To Love You"/>
    <x v="0"/>
    <n v="67"/>
    <n v="44.307166666666667"/>
    <n v="265843"/>
    <x v="0"/>
    <b v="0"/>
    <s v="Moderate"/>
    <n v="0.65"/>
    <x v="1"/>
    <n v="0.27100000000000002"/>
    <n v="9"/>
    <n v="-11.081"/>
    <n v="1"/>
    <n v="3.1399999999999997E-2"/>
    <n v="0.79400000000000004"/>
    <s v="6.9e-05"/>
    <n v="0.19600000000000001"/>
    <n v="0.21"/>
    <n v="78.036000000000001"/>
    <n v="4"/>
    <s v="acoustic"/>
  </r>
  <r>
    <s v="5O9R57EozcpLKGQBzadPVy"/>
    <x v="53"/>
    <s v="Life Sucks Playlist"/>
    <s v="Only Love Can Hurt Like This"/>
    <x v="1"/>
    <n v="43"/>
    <n v="32.365666666666669"/>
    <n v="194194"/>
    <x v="0"/>
    <b v="0"/>
    <s v="Moderate"/>
    <n v="0.53400000000000003"/>
    <x v="1"/>
    <n v="0.21299999999999999"/>
    <n v="1"/>
    <n v="-8.64"/>
    <n v="1"/>
    <n v="2.8299999999999999E-2"/>
    <n v="0.88400000000000001"/>
    <n v="0"/>
    <n v="0.107"/>
    <n v="9.98E-2"/>
    <n v="98.385000000000005"/>
    <n v="4"/>
    <s v="acoustic"/>
  </r>
  <r>
    <s v="6ta5yavnnEfCE4faU0jebM"/>
    <x v="54"/>
    <s v="Hurricane Glass"/>
    <s v="Mr Blue"/>
    <x v="1"/>
    <n v="54"/>
    <n v="25.766666666666666"/>
    <n v="154600"/>
    <x v="0"/>
    <b v="0"/>
    <s v="Moderate"/>
    <n v="0.45600000000000002"/>
    <x v="1"/>
    <n v="0.38600000000000001"/>
    <n v="10"/>
    <n v="-10.292999999999999"/>
    <n v="1"/>
    <n v="3.2000000000000001E-2"/>
    <n v="0.83499999999999996"/>
    <n v="0.108"/>
    <n v="0.38900000000000001"/>
    <n v="0.61199999999999999"/>
    <n v="165.733"/>
    <n v="4"/>
    <s v="acoustic"/>
  </r>
  <r>
    <s v="7BRCa8MPiyuvr2VU3O9W0F"/>
    <x v="55"/>
    <s v="Where The Mountain Meets The Valley"/>
    <s v="Do Not Let Me Go"/>
    <x v="0"/>
    <n v="60"/>
    <n v="26.493333333333332"/>
    <n v="158960"/>
    <x v="0"/>
    <b v="0"/>
    <s v="Moderate"/>
    <n v="0.40899999999999997"/>
    <x v="1"/>
    <n v="0.23400000000000001"/>
    <n v="3"/>
    <n v="-13.711"/>
    <n v="1"/>
    <n v="3.2300000000000002E-2"/>
    <n v="0.33800000000000002"/>
    <s v="5e-05"/>
    <n v="8.9499999999999996E-2"/>
    <n v="0.14499999999999999"/>
    <n v="139.83199999999999"/>
    <n v="4"/>
    <s v="acoustic"/>
  </r>
  <r>
    <s v="5ZhaKUsY68U0lgREFWfoxg"/>
    <x v="9"/>
    <s v="Holding On And Letting Go - Single"/>
    <s v="Holding On And Letting Go"/>
    <x v="1"/>
    <n v="49"/>
    <n v="53.166666666666664"/>
    <n v="319000"/>
    <x v="0"/>
    <b v="0"/>
    <s v="Moderate"/>
    <n v="0.502"/>
    <x v="0"/>
    <n v="0.53"/>
    <n v="2"/>
    <n v="-9.5730000000000004"/>
    <n v="1"/>
    <n v="2.6599999999999999E-2"/>
    <n v="0.80500000000000005"/>
    <n v="7.3800000000000005E-4"/>
    <n v="7.2800000000000004E-2"/>
    <n v="0.10199999999999999"/>
    <n v="78.046000000000006"/>
    <n v="4"/>
    <s v="acoustic"/>
  </r>
  <r>
    <s v="4zcMBfbQZvBSHQBGDd6gsN"/>
    <x v="56"/>
    <s v="You Already Know"/>
    <s v="You Already Know"/>
    <x v="1"/>
    <n v="57"/>
    <n v="35.726666666666667"/>
    <n v="214360"/>
    <x v="0"/>
    <b v="0"/>
    <s v="Moderate"/>
    <n v="0.496"/>
    <x v="1"/>
    <n v="0.11700000000000001"/>
    <n v="0"/>
    <n v="-12.884"/>
    <n v="1"/>
    <n v="3.0099999999999998E-2"/>
    <n v="0.93300000000000005"/>
    <n v="0"/>
    <n v="0.126"/>
    <n v="0.318"/>
    <n v="78.067999999999998"/>
    <n v="4"/>
    <s v="acoustic"/>
  </r>
  <r>
    <s v="7bhHLZxkRekrNPPkEdDTbn"/>
    <x v="1"/>
    <s v="Believer (Remix)"/>
    <s v="Believer (Remix)"/>
    <x v="1"/>
    <n v="42"/>
    <n v="34.08"/>
    <n v="204480"/>
    <x v="0"/>
    <b v="0"/>
    <s v="Moderate"/>
    <n v="0.58499999999999996"/>
    <x v="2"/>
    <n v="0.72399999999999998"/>
    <n v="1"/>
    <n v="-6.5129999999999999"/>
    <n v="0"/>
    <n v="7.4499999999999997E-2"/>
    <n v="0.315"/>
    <n v="6.8099999999999994E-2"/>
    <n v="4.48E-2"/>
    <n v="0.33300000000000002"/>
    <n v="187.48400000000001"/>
    <n v="3"/>
    <s v="acoustic"/>
  </r>
  <r>
    <s v="5rwq6R0Uq0BngM3rdmCeNg"/>
    <x v="57"/>
    <s v="Stop All the World Now (Special Edition)"/>
    <s v="Collide - Acoustic Version"/>
    <x v="0"/>
    <n v="67"/>
    <n v="46.166666666666664"/>
    <n v="277000"/>
    <x v="0"/>
    <b v="0"/>
    <s v="Moderate"/>
    <n v="0.58199999999999996"/>
    <x v="1"/>
    <n v="0.253"/>
    <n v="10"/>
    <n v="-11.43"/>
    <n v="1"/>
    <n v="2.5899999999999999E-2"/>
    <n v="0.82699999999999996"/>
    <s v="2.95e-05"/>
    <n v="9.0999999999999998E-2"/>
    <n v="0.29399999999999998"/>
    <n v="90.186000000000007"/>
    <n v="4"/>
    <s v="acoustic"/>
  </r>
  <r>
    <s v="2lxBZVbkiCXC1soks2RXwV"/>
    <x v="58"/>
    <s v="Magic"/>
    <s v="Love Like This"/>
    <x v="0"/>
    <n v="61"/>
    <n v="35.706666666666663"/>
    <n v="214240"/>
    <x v="0"/>
    <b v="0"/>
    <s v="Moderate"/>
    <n v="0.63700000000000001"/>
    <x v="1"/>
    <n v="0.14000000000000001"/>
    <n v="2"/>
    <n v="-11.472"/>
    <n v="1"/>
    <n v="4.07E-2"/>
    <n v="0.90300000000000002"/>
    <n v="0"/>
    <n v="0.107"/>
    <n v="0.39200000000000002"/>
    <n v="139.78"/>
    <n v="4"/>
    <s v="acoustic"/>
  </r>
  <r>
    <s v="38YgZVHPWOWsKrsCXz6JyP"/>
    <x v="59"/>
    <s v="Some Mad Hope"/>
    <s v="Come On Get Higher"/>
    <x v="0"/>
    <n v="71"/>
    <n v="35.862166666666667"/>
    <n v="215173"/>
    <x v="0"/>
    <b v="0"/>
    <s v="Moderate"/>
    <n v="0.67200000000000004"/>
    <x v="0"/>
    <n v="0.623"/>
    <n v="9"/>
    <n v="-5.6989999999999998"/>
    <n v="1"/>
    <n v="2.9700000000000001E-2"/>
    <n v="0.24099999999999999"/>
    <n v="0"/>
    <n v="8.48E-2"/>
    <n v="0.61699999999999999"/>
    <n v="92.018000000000001"/>
    <n v="4"/>
    <s v="acoustic"/>
  </r>
  <r>
    <s v="6XrNrp7UtGgyZcHJ0ckL0w"/>
    <x v="60"/>
    <s v="Something In the Rain (Music from the Original TV Series)"/>
    <s v="&quot;Something In the Rain&quot; (Something In the Rain, Pt. 1) [Music from the Original TV Series]"/>
    <x v="1"/>
    <n v="49"/>
    <n v="49.476999999999997"/>
    <n v="296862"/>
    <x v="0"/>
    <b v="0"/>
    <s v="Moderate"/>
    <n v="0.42199999999999999"/>
    <x v="1"/>
    <n v="0.27200000000000002"/>
    <n v="4"/>
    <n v="-10.772"/>
    <n v="0"/>
    <n v="3.5299999999999998E-2"/>
    <n v="0.496"/>
    <s v="1.07e-05"/>
    <n v="7.0400000000000004E-2"/>
    <n v="0.113"/>
    <n v="143.41300000000001"/>
    <n v="4"/>
    <s v="acoustic"/>
  </r>
  <r>
    <s v="72R0X0h8YaxYNpegeoOl0M"/>
    <x v="61"/>
    <s v="The Way It Was"/>
    <s v="Kiss Me Slowly"/>
    <x v="0"/>
    <n v="61"/>
    <n v="39.302166666666665"/>
    <n v="235813"/>
    <x v="0"/>
    <b v="0"/>
    <s v="Moderate"/>
    <n v="0.47"/>
    <x v="2"/>
    <n v="0.80100000000000005"/>
    <n v="9"/>
    <n v="-6.4260000000000002"/>
    <n v="1"/>
    <n v="3.5200000000000002E-2"/>
    <n v="7.5800000000000006E-2"/>
    <s v="3.53e-05"/>
    <n v="0.218"/>
    <n v="0.43099999999999999"/>
    <n v="173.92"/>
    <n v="4"/>
    <s v="acoustic"/>
  </r>
  <r>
    <s v="6R6ux6KaKrhAg2EIB2krdU"/>
    <x v="61"/>
    <s v="Wide Awake"/>
    <s v="Without You"/>
    <x v="0"/>
    <n v="61"/>
    <n v="38.155500000000004"/>
    <n v="228933"/>
    <x v="0"/>
    <b v="0"/>
    <s v="Moderate"/>
    <n v="0.56399999999999995"/>
    <x v="2"/>
    <n v="0.86399999999999999"/>
    <n v="4"/>
    <n v="-5.1210000000000004"/>
    <n v="1"/>
    <n v="3.4099999999999998E-2"/>
    <n v="7.6100000000000001E-2"/>
    <n v="0"/>
    <n v="0.182"/>
    <n v="0.53400000000000003"/>
    <n v="95.983999999999995"/>
    <n v="4"/>
    <s v="acoustic"/>
  </r>
  <r>
    <s v="2D9w6sabdMCLSheW5aegwO"/>
    <x v="7"/>
    <s v="Waiting for My Rocket to Come (Expanded Edition)"/>
    <s v="Absolutely Zero"/>
    <x v="3"/>
    <n v="20"/>
    <n v="56.532666666666664"/>
    <n v="339196"/>
    <x v="0"/>
    <b v="0"/>
    <s v="Moderate"/>
    <n v="0.52100000000000002"/>
    <x v="0"/>
    <n v="0.495"/>
    <n v="5"/>
    <n v="-7.7560000000000002"/>
    <n v="1"/>
    <n v="2.7E-2"/>
    <n v="0.128"/>
    <n v="0"/>
    <n v="0.29599999999999999"/>
    <n v="0.11600000000000001"/>
    <n v="135.06100000000001"/>
    <n v="4"/>
    <s v="acoustic"/>
  </r>
  <r>
    <s v="1Qo3taHLFSQpzLm5Sty7M4"/>
    <x v="7"/>
    <s v="Waiting for My Rocket to Come (Expanded Edition)"/>
    <s v="Sleep All Day"/>
    <x v="3"/>
    <n v="22"/>
    <n v="49.473833333333332"/>
    <n v="296843"/>
    <x v="0"/>
    <b v="0"/>
    <s v="Moderate"/>
    <n v="0.61599999999999999"/>
    <x v="2"/>
    <n v="0.81"/>
    <n v="2"/>
    <n v="-6.51"/>
    <n v="1"/>
    <n v="6.6799999999999998E-2"/>
    <n v="0.36899999999999999"/>
    <n v="0"/>
    <n v="0.107"/>
    <n v="0.79"/>
    <n v="97.994"/>
    <n v="4"/>
    <s v="acoustic"/>
  </r>
  <r>
    <s v="71M4QMn8nrok1KFVXwEEyU"/>
    <x v="7"/>
    <s v="Waiting for My Rocket to Come (Expanded Edition)"/>
    <s v="You and I Both"/>
    <x v="3"/>
    <n v="35"/>
    <n v="36.373333333333335"/>
    <n v="218240"/>
    <x v="0"/>
    <b v="0"/>
    <s v="Moderate"/>
    <n v="0.61499999999999999"/>
    <x v="2"/>
    <n v="0.81200000000000006"/>
    <n v="7"/>
    <n v="-6.5730000000000004"/>
    <n v="1"/>
    <n v="4.58E-2"/>
    <n v="0.184"/>
    <n v="0"/>
    <n v="0.32800000000000001"/>
    <n v="0.74"/>
    <n v="98.953999999999994"/>
    <n v="4"/>
    <s v="acoustic"/>
  </r>
  <r>
    <s v="4lxGVzcUaSF5HW5jtWnShV"/>
    <x v="21"/>
    <s v="Into The Wild (Music For The Motion Picture)"/>
    <s v="Long Nights"/>
    <x v="0"/>
    <n v="60"/>
    <n v="25.295500000000001"/>
    <n v="151773"/>
    <x v="0"/>
    <b v="0"/>
    <s v="Moderate"/>
    <n v="0.47799999999999998"/>
    <x v="1"/>
    <n v="0.30499999999999999"/>
    <n v="5"/>
    <n v="-13.061999999999999"/>
    <n v="1"/>
    <n v="3.0599999999999999E-2"/>
    <n v="0.67500000000000004"/>
    <n v="1.39E-3"/>
    <n v="0.16900000000000001"/>
    <n v="9.74E-2"/>
    <n v="108.66"/>
    <n v="4"/>
    <s v="acoustic"/>
  </r>
  <r>
    <s v="2PIlBukQ6limukVR8Ubb5o"/>
    <x v="41"/>
    <s v="English Rain"/>
    <s v="Please Don't Say You Love Me"/>
    <x v="1"/>
    <n v="59"/>
    <n v="30.233333333333334"/>
    <n v="181400"/>
    <x v="0"/>
    <b v="0"/>
    <s v="Moderate"/>
    <n v="0.47899999999999998"/>
    <x v="0"/>
    <n v="0.54100000000000004"/>
    <n v="0"/>
    <n v="-9.8620000000000001"/>
    <n v="1"/>
    <n v="5.45E-2"/>
    <n v="0.73699999999999999"/>
    <n v="0"/>
    <n v="0.108"/>
    <n v="0.32100000000000001"/>
    <n v="85.994"/>
    <n v="4"/>
    <s v="acoustic"/>
  </r>
  <r>
    <s v="5p9XWUdvbUzmPCukOmwoU3"/>
    <x v="19"/>
    <s v="Eye To The Telescope"/>
    <s v="Suddenly I See"/>
    <x v="0"/>
    <n v="73"/>
    <n v="33.617666666666665"/>
    <n v="201706"/>
    <x v="0"/>
    <b v="0"/>
    <s v="Moderate"/>
    <n v="0.58699999999999997"/>
    <x v="2"/>
    <n v="0.76700000000000002"/>
    <n v="0"/>
    <n v="-5.7130000000000001"/>
    <n v="1"/>
    <n v="4.4900000000000002E-2"/>
    <n v="0.22500000000000001"/>
    <n v="0"/>
    <n v="0.112"/>
    <n v="0.66400000000000003"/>
    <n v="100.38"/>
    <n v="4"/>
    <s v="acoustic"/>
  </r>
  <r>
    <s v="1uSuY2qLCbx1QB7oPUVhFG"/>
    <x v="7"/>
    <s v="Waiting for My Rocket to Come (Expanded Edition)"/>
    <s v="Who Needs Shelter"/>
    <x v="3"/>
    <n v="22"/>
    <n v="32.043333333333337"/>
    <n v="192260"/>
    <x v="0"/>
    <b v="0"/>
    <s v="Moderate"/>
    <n v="0.51400000000000001"/>
    <x v="0"/>
    <n v="0.56899999999999995"/>
    <n v="6"/>
    <n v="-7.8659999999999997"/>
    <n v="0"/>
    <n v="0.03"/>
    <n v="0.60099999999999998"/>
    <s v="2.21e-06"/>
    <n v="0.218"/>
    <n v="0.26400000000000001"/>
    <n v="142.59700000000001"/>
    <n v="4"/>
    <s v="acoustic"/>
  </r>
  <r>
    <s v="6twvFrIoIINH8UW8EB8OnU"/>
    <x v="7"/>
    <s v="Waiting for My Rocket to Come (Expanded Edition)"/>
    <s v="No Stopping Us"/>
    <x v="3"/>
    <n v="19"/>
    <n v="33.142499999999998"/>
    <n v="198855"/>
    <x v="0"/>
    <b v="0"/>
    <s v="Moderate"/>
    <n v="0.64600000000000002"/>
    <x v="2"/>
    <n v="0.83599999999999997"/>
    <n v="1"/>
    <n v="-6.2030000000000003"/>
    <n v="1"/>
    <n v="3.27E-2"/>
    <n v="0.30099999999999999"/>
    <s v="3.23e-05"/>
    <n v="0.28999999999999998"/>
    <n v="0.72699999999999998"/>
    <n v="105.991"/>
    <n v="4"/>
    <s v="acoustic"/>
  </r>
  <r>
    <s v="2pelUnMKr07JjJpilj9Yew"/>
    <x v="7"/>
    <s v="Waiting for My Rocket to Come (Expanded Edition)"/>
    <s v="I'll Do Anything"/>
    <x v="3"/>
    <n v="24"/>
    <n v="31.9815"/>
    <n v="191889"/>
    <x v="0"/>
    <b v="0"/>
    <s v="Moderate"/>
    <n v="0.56999999999999995"/>
    <x v="2"/>
    <n v="0.71099999999999997"/>
    <n v="9"/>
    <n v="-4.1550000000000002"/>
    <n v="1"/>
    <n v="7.0300000000000001E-2"/>
    <n v="0.11899999999999999"/>
    <n v="0"/>
    <n v="0.35199999999999998"/>
    <n v="0.64800000000000002"/>
    <n v="163.11699999999999"/>
    <n v="4"/>
    <s v="acoustic"/>
  </r>
  <r>
    <s v="7d0bJhpp0mCYyMXaMgWyMS"/>
    <x v="56"/>
    <s v="I Dream of You: CALM"/>
    <s v="Make You Feel My Love"/>
    <x v="1"/>
    <n v="57"/>
    <n v="28.548833333333334"/>
    <n v="171293"/>
    <x v="0"/>
    <b v="0"/>
    <s v="Moderate"/>
    <n v="0.67800000000000005"/>
    <x v="1"/>
    <n v="0.19900000000000001"/>
    <n v="9"/>
    <n v="-9.7850000000000001"/>
    <n v="1"/>
    <n v="3.0700000000000002E-2"/>
    <n v="0.95699999999999996"/>
    <s v="3.23e-06"/>
    <n v="9.6799999999999997E-2"/>
    <n v="0.26200000000000001"/>
    <n v="72.006"/>
    <n v="4"/>
    <s v="acoustic"/>
  </r>
  <r>
    <s v="73CbJykoV6WapWGfTeRzTl"/>
    <x v="7"/>
    <s v="Waiting for My Rocket to Come (Expanded Edition)"/>
    <s v="The Remedy (I Won't Worry)"/>
    <x v="3"/>
    <n v="35"/>
    <n v="42.74"/>
    <n v="256440"/>
    <x v="0"/>
    <b v="0"/>
    <s v="Moderate"/>
    <n v="0.58899999999999997"/>
    <x v="2"/>
    <n v="0.86699999999999999"/>
    <n v="10"/>
    <n v="-4.5229999999999997"/>
    <n v="1"/>
    <n v="3.85E-2"/>
    <n v="4.1000000000000002E-2"/>
    <n v="0"/>
    <n v="0.30599999999999999"/>
    <n v="0.79500000000000004"/>
    <n v="94.52"/>
    <n v="4"/>
    <s v="acoustic"/>
  </r>
  <r>
    <s v="3ixLIO5BsTmic0Pp27FaPY"/>
    <x v="7"/>
    <s v="Waiting for My Rocket to Come (Expanded Edition)"/>
    <s v="Too Much Food"/>
    <x v="3"/>
    <n v="20"/>
    <n v="36.904166666666669"/>
    <n v="221425"/>
    <x v="0"/>
    <b v="0"/>
    <s v="Moderate"/>
    <n v="0.626"/>
    <x v="2"/>
    <n v="0.92600000000000005"/>
    <n v="2"/>
    <n v="-4.4409999999999998"/>
    <n v="1"/>
    <n v="4.7699999999999999E-2"/>
    <n v="2.6499999999999999E-2"/>
    <n v="0"/>
    <n v="0.159"/>
    <n v="0.54800000000000004"/>
    <n v="99.997"/>
    <n v="4"/>
    <s v="acoustic"/>
  </r>
  <r>
    <s v="5ZetMq21bMQN5oo4TtdOxu"/>
    <x v="7"/>
    <s v="Waiting for My Rocket to Come (Expanded Edition)"/>
    <s v="The Boy's Gone"/>
    <x v="3"/>
    <n v="18"/>
    <n v="42.50783333333333"/>
    <n v="255047"/>
    <x v="0"/>
    <b v="0"/>
    <s v="Moderate"/>
    <n v="0.68600000000000005"/>
    <x v="0"/>
    <n v="0.55600000000000005"/>
    <n v="1"/>
    <n v="-8.5"/>
    <n v="0"/>
    <n v="2.7099999999999999E-2"/>
    <n v="0.53200000000000003"/>
    <n v="0"/>
    <n v="9.2200000000000004E-2"/>
    <n v="0.36"/>
    <n v="112.997"/>
    <n v="4"/>
    <s v="acoustic"/>
  </r>
  <r>
    <s v="73oHkllHIT8fdbzpxiXW40"/>
    <x v="7"/>
    <s v="Waiting for My Rocket to Come (Expanded Edition)"/>
    <s v="On Love, in Sadness"/>
    <x v="3"/>
    <n v="19"/>
    <n v="34.798833333333334"/>
    <n v="208793"/>
    <x v="0"/>
    <b v="0"/>
    <s v="Moderate"/>
    <n v="0.56000000000000005"/>
    <x v="2"/>
    <n v="0.83199999999999996"/>
    <n v="9"/>
    <n v="-5.5949999999999998"/>
    <n v="1"/>
    <n v="3.5200000000000002E-2"/>
    <n v="0.108"/>
    <n v="0"/>
    <n v="0.23200000000000001"/>
    <n v="0.80200000000000005"/>
    <n v="100.95699999999999"/>
    <n v="4"/>
    <s v="acoustic"/>
  </r>
  <r>
    <s v="4MihgVRpD82EZoT61GW63w"/>
    <x v="7"/>
    <s v="Waiting for My Rocket to Come (Expanded Edition)"/>
    <s v="Curbside Prophet"/>
    <x v="3"/>
    <n v="23"/>
    <n v="35.75866666666667"/>
    <n v="214552"/>
    <x v="0"/>
    <b v="0"/>
    <s v="Moderate"/>
    <n v="0.61899999999999999"/>
    <x v="2"/>
    <n v="0.79300000000000004"/>
    <n v="5"/>
    <n v="-5.9640000000000004"/>
    <n v="1"/>
    <n v="6.6100000000000006E-2"/>
    <n v="0.26300000000000001"/>
    <n v="0"/>
    <n v="8.2799999999999999E-2"/>
    <n v="0.89200000000000002"/>
    <n v="177.99100000000001"/>
    <n v="4"/>
    <s v="acoustic"/>
  </r>
  <r>
    <s v="1BECZPXBXzobsfmlzj0g3I"/>
    <x v="7"/>
    <s v="Waiting for My Rocket to Come (Expanded Edition)"/>
    <s v="Tonight, Not Again - Live"/>
    <x v="3"/>
    <n v="19"/>
    <n v="44.046666666666667"/>
    <n v="264280"/>
    <x v="0"/>
    <b v="0"/>
    <s v="Moderate"/>
    <n v="0.56000000000000005"/>
    <x v="1"/>
    <n v="0.27800000000000002"/>
    <n v="3"/>
    <n v="-12.500999999999999"/>
    <n v="1"/>
    <n v="9.2100000000000001E-2"/>
    <n v="0.73299999999999998"/>
    <n v="0"/>
    <n v="0.112"/>
    <n v="0.59399999999999997"/>
    <n v="102.187"/>
    <n v="4"/>
    <s v="acoustic"/>
  </r>
  <r>
    <s v="14vExHBkh1prEAN94wZug8"/>
    <x v="7"/>
    <s v="Waiting for My Rocket to Come (Expanded Edition)"/>
    <s v="Tonight, Not Again"/>
    <x v="3"/>
    <n v="18"/>
    <n v="48.173499999999997"/>
    <n v="289041"/>
    <x v="0"/>
    <b v="0"/>
    <s v="Moderate"/>
    <n v="0.59499999999999997"/>
    <x v="2"/>
    <n v="0.80500000000000005"/>
    <n v="8"/>
    <n v="-7.9260000000000002"/>
    <n v="1"/>
    <n v="5.4300000000000001E-2"/>
    <n v="1.67E-2"/>
    <s v="1.06e-05"/>
    <n v="6.9099999999999995E-2"/>
    <n v="0.35899999999999999"/>
    <n v="102.44"/>
    <n v="4"/>
    <s v="acoustic"/>
  </r>
  <r>
    <s v="0fzCtVM9D5UEwiLqcY8Ouq"/>
    <x v="21"/>
    <s v="Into The Wild (Music For The Motion Picture)"/>
    <s v="Hard Sun"/>
    <x v="0"/>
    <n v="65"/>
    <n v="53.68"/>
    <n v="322080"/>
    <x v="0"/>
    <b v="0"/>
    <s v="Moderate"/>
    <n v="0.438"/>
    <x v="2"/>
    <n v="0.82699999999999996"/>
    <n v="8"/>
    <n v="-6.5309999999999997"/>
    <n v="1"/>
    <n v="3.2800000000000003E-2"/>
    <n v="5.1200000000000002E-2"/>
    <n v="4.0200000000000001E-4"/>
    <n v="0.31900000000000001"/>
    <n v="0.64500000000000002"/>
    <n v="143.37700000000001"/>
    <n v="4"/>
    <s v="acoustic"/>
  </r>
  <r>
    <s v="6IF2P93LkyW4GqDQu1yS7H"/>
    <x v="62"/>
    <s v="Here with Me"/>
    <s v="Here with Me"/>
    <x v="1"/>
    <n v="55"/>
    <n v="39.828499999999998"/>
    <n v="238971"/>
    <x v="0"/>
    <b v="0"/>
    <s v="Moderate"/>
    <n v="0.58199999999999996"/>
    <x v="1"/>
    <n v="0.375"/>
    <n v="1"/>
    <n v="-13.276999999999999"/>
    <n v="0"/>
    <n v="3.2899999999999999E-2"/>
    <n v="0.70199999999999996"/>
    <n v="6.3100000000000003E-2"/>
    <n v="0.13600000000000001"/>
    <n v="0.106"/>
    <n v="129.90899999999999"/>
    <n v="4"/>
    <s v="acoustic"/>
  </r>
  <r>
    <s v="34dnNAUoIPcwnK0RtVMBWZ"/>
    <x v="63"/>
    <s v="Tyler Ward Covers, Vol. 5"/>
    <s v="The Scientist"/>
    <x v="1"/>
    <n v="47"/>
    <n v="46.095833333333331"/>
    <n v="276575"/>
    <x v="0"/>
    <b v="0"/>
    <s v="Moderate"/>
    <n v="0.45300000000000001"/>
    <x v="1"/>
    <n v="0.29499999999999998"/>
    <n v="7"/>
    <n v="-12.881"/>
    <n v="1"/>
    <n v="2.9100000000000001E-2"/>
    <n v="0.51800000000000002"/>
    <n v="1.1E-4"/>
    <n v="0.29299999999999998"/>
    <n v="0.14000000000000001"/>
    <n v="146.02199999999999"/>
    <n v="4"/>
    <s v="acoustic"/>
  </r>
  <r>
    <s v="5aDpULK8MbJmHl42kR5KNI"/>
    <x v="57"/>
    <s v="Stop All The World Now"/>
    <s v="Collide"/>
    <x v="1"/>
    <n v="56"/>
    <n v="41.52"/>
    <n v="249120"/>
    <x v="0"/>
    <b v="0"/>
    <s v="Moderate"/>
    <n v="0.63600000000000001"/>
    <x v="0"/>
    <n v="0.625"/>
    <n v="11"/>
    <n v="-7.8949999999999996"/>
    <n v="1"/>
    <n v="2.7699999999999999E-2"/>
    <n v="0.222"/>
    <s v="5.35e-05"/>
    <n v="0.11899999999999999"/>
    <n v="0.34200000000000003"/>
    <n v="93.930999999999997"/>
    <n v="4"/>
    <s v="acoustic"/>
  </r>
  <r>
    <s v="1fI1TMpz7FVkpoYBhmiywp"/>
    <x v="64"/>
    <s v="get better"/>
    <s v="get better"/>
    <x v="1"/>
    <n v="53"/>
    <n v="18.622333333333334"/>
    <n v="111734"/>
    <x v="0"/>
    <b v="0"/>
    <s v="Moderate"/>
    <n v="0.63900000000000001"/>
    <x v="1"/>
    <n v="0.20100000000000001"/>
    <n v="7"/>
    <n v="-16.613"/>
    <n v="0"/>
    <n v="5.2600000000000001E-2"/>
    <n v="0.90700000000000003"/>
    <s v="2.26e-05"/>
    <n v="0.124"/>
    <n v="0.4"/>
    <n v="88.106999999999999"/>
    <n v="4"/>
    <s v="acoustic"/>
  </r>
  <r>
    <s v="23Mcmg5O8rBKAOzxvrTjnD"/>
    <x v="49"/>
    <s v="Hikare Inochi"/>
    <s v="Sympathy"/>
    <x v="1"/>
    <n v="49"/>
    <n v="35.126666666666665"/>
    <n v="210760"/>
    <x v="0"/>
    <b v="0"/>
    <s v="Moderate"/>
    <n v="0.69"/>
    <x v="0"/>
    <n v="0.42299999999999999"/>
    <n v="2"/>
    <n v="-9.1940000000000008"/>
    <n v="0"/>
    <n v="2.9399999999999999E-2"/>
    <n v="0.88300000000000001"/>
    <n v="1.23E-2"/>
    <n v="0.111"/>
    <n v="0.59"/>
    <n v="130.12100000000001"/>
    <n v="4"/>
    <s v="acoustic"/>
  </r>
  <r>
    <s v="0gVbkmFqq5fIkXtJJ3UTfM"/>
    <x v="65"/>
    <s v="Let It Go"/>
    <s v="Let It Go"/>
    <x v="1"/>
    <n v="51"/>
    <n v="42.614666666666665"/>
    <n v="255688"/>
    <x v="0"/>
    <b v="0"/>
    <s v="Moderate"/>
    <n v="0.59899999999999998"/>
    <x v="1"/>
    <n v="0.34899999999999998"/>
    <n v="1"/>
    <n v="-9.2690000000000001"/>
    <n v="1"/>
    <n v="3.0099999999999998E-2"/>
    <n v="0.81899999999999995"/>
    <n v="0"/>
    <n v="0.112"/>
    <n v="0.44400000000000001"/>
    <n v="147.91300000000001"/>
    <n v="4"/>
    <s v="acoustic"/>
  </r>
  <r>
    <s v="00DuOxungwHwVUX2m37P0P"/>
    <x v="4"/>
    <s v="What You Need"/>
    <s v="What You Need"/>
    <x v="1"/>
    <n v="53"/>
    <n v="30.297666666666668"/>
    <n v="181786"/>
    <x v="0"/>
    <b v="0"/>
    <s v="Moderate"/>
    <n v="0.51900000000000002"/>
    <x v="1"/>
    <n v="0.26400000000000001"/>
    <n v="0"/>
    <n v="-11.170999999999999"/>
    <n v="1"/>
    <n v="6.0100000000000001E-2"/>
    <n v="0.91800000000000004"/>
    <n v="2.5300000000000002E-4"/>
    <n v="0.23699999999999999"/>
    <n v="0.192"/>
    <n v="140.35400000000001"/>
    <n v="4"/>
    <s v="acoustic"/>
  </r>
  <r>
    <s v="2lFlveK1y13WWp3vnQtrr3"/>
    <x v="35"/>
    <s v="The Battle for Everything"/>
    <s v="100 Years"/>
    <x v="0"/>
    <n v="66"/>
    <n v="40.766666666666666"/>
    <n v="244600"/>
    <x v="0"/>
    <b v="0"/>
    <s v="Moderate"/>
    <n v="0.64300000000000002"/>
    <x v="0"/>
    <n v="0.56899999999999995"/>
    <n v="7"/>
    <n v="-7.4589999999999996"/>
    <n v="1"/>
    <n v="2.76E-2"/>
    <n v="0.54400000000000004"/>
    <s v="2.17e-05"/>
    <n v="0.17799999999999999"/>
    <n v="0.27500000000000002"/>
    <n v="120.50700000000001"/>
    <n v="4"/>
    <s v="acoustic"/>
  </r>
  <r>
    <s v="2WD93lsfJonaKtrQtpLB2R"/>
    <x v="25"/>
    <s v="Nightshade"/>
    <s v="You're the Sea"/>
    <x v="1"/>
    <n v="56"/>
    <n v="29.091000000000001"/>
    <n v="174546"/>
    <x v="0"/>
    <b v="0"/>
    <s v="Moderate"/>
    <n v="0.57299999999999995"/>
    <x v="0"/>
    <n v="0.624"/>
    <n v="1"/>
    <n v="-9.0760000000000005"/>
    <n v="0"/>
    <n v="3.2399999999999998E-2"/>
    <n v="0.47099999999999997"/>
    <n v="0.11700000000000001"/>
    <n v="0.114"/>
    <n v="0.52900000000000003"/>
    <n v="161.02500000000001"/>
    <n v="4"/>
    <s v="acoustic"/>
  </r>
  <r>
    <s v="7njTGO45SkaBTNu35t2Yq0"/>
    <x v="60"/>
    <s v="One Spring Night (Original Television Soundtrack), Pt. 1"/>
    <s v="No Direction"/>
    <x v="1"/>
    <n v="47"/>
    <n v="39.055"/>
    <n v="234330"/>
    <x v="0"/>
    <b v="0"/>
    <s v="Moderate"/>
    <n v="0.65400000000000003"/>
    <x v="2"/>
    <n v="0.82099999999999995"/>
    <n v="7"/>
    <n v="-5.4720000000000004"/>
    <n v="1"/>
    <n v="2.64E-2"/>
    <n v="6.6600000000000001E-3"/>
    <n v="2.99E-3"/>
    <n v="0.22800000000000001"/>
    <n v="0.61299999999999999"/>
    <n v="111.958"/>
    <n v="4"/>
    <s v="acoustic"/>
  </r>
  <r>
    <s v="6ivkBaxvclVhwZDE2uwldj"/>
    <x v="66"/>
    <s v="Under Control"/>
    <s v="Belong"/>
    <x v="1"/>
    <n v="51"/>
    <n v="42.6"/>
    <n v="255600"/>
    <x v="0"/>
    <b v="0"/>
    <s v="Moderate"/>
    <n v="0.42599999999999999"/>
    <x v="1"/>
    <n v="0.39900000000000002"/>
    <n v="0"/>
    <n v="-8.4469999999999992"/>
    <n v="1"/>
    <n v="3.4000000000000002E-2"/>
    <n v="0.76100000000000001"/>
    <n v="1.1199999999999999E-3"/>
    <n v="0.11799999999999999"/>
    <n v="0.217"/>
    <n v="115.979"/>
    <n v="4"/>
    <s v="acoustic"/>
  </r>
  <r>
    <s v="6Cvti10W0AzmzG9D1tpuKp"/>
    <x v="67"/>
    <s v="As It Was"/>
    <s v="As It Was"/>
    <x v="1"/>
    <n v="55"/>
    <n v="29.423666666666666"/>
    <n v="176542"/>
    <x v="0"/>
    <b v="0"/>
    <s v="Moderate"/>
    <n v="0.505"/>
    <x v="1"/>
    <n v="0.21"/>
    <n v="11"/>
    <n v="-11.349"/>
    <n v="1"/>
    <n v="2.9499999999999998E-2"/>
    <n v="0.90700000000000003"/>
    <n v="0"/>
    <n v="0.11"/>
    <n v="0.32300000000000001"/>
    <n v="80.721000000000004"/>
    <n v="4"/>
    <s v="acoustic"/>
  </r>
  <r>
    <s v="03yc0G2OoH1Eeyu7Piy8fK"/>
    <x v="7"/>
    <s v="I'm Yours"/>
    <s v="I'm Yours"/>
    <x v="0"/>
    <n v="60"/>
    <n v="40.582333333333331"/>
    <n v="243494"/>
    <x v="0"/>
    <b v="0"/>
    <s v="Moderate"/>
    <n v="0.69299999999999995"/>
    <x v="0"/>
    <n v="0.43"/>
    <n v="11"/>
    <n v="-9.3949999999999996"/>
    <n v="1"/>
    <n v="4.4200000000000003E-2"/>
    <n v="0.56499999999999995"/>
    <n v="0"/>
    <n v="9.2799999999999994E-2"/>
    <n v="0.73099999999999998"/>
    <n v="151.001"/>
    <n v="4"/>
    <s v="acoustic"/>
  </r>
  <r>
    <s v="5RO0MNa5hBKIM4OcjygadU"/>
    <x v="68"/>
    <s v="Chi Mai"/>
    <s v="Chi Mai"/>
    <x v="1"/>
    <n v="40"/>
    <n v="31.449166666666667"/>
    <n v="188695"/>
    <x v="0"/>
    <b v="0"/>
    <s v="Very Danceable"/>
    <n v="0.73899999999999999"/>
    <x v="1"/>
    <n v="0.28699999999999998"/>
    <n v="6"/>
    <n v="-14.007"/>
    <n v="0"/>
    <n v="5.8999999999999997E-2"/>
    <n v="0.96899999999999997"/>
    <n v="0.96099999999999997"/>
    <n v="0.111"/>
    <n v="0.55700000000000005"/>
    <n v="80.64"/>
    <n v="4"/>
    <s v="acoustic"/>
  </r>
  <r>
    <s v="78TKtlSLWK8pZAKKW3MyQL"/>
    <x v="6"/>
    <s v="Say Something"/>
    <s v="Say Something"/>
    <x v="1"/>
    <n v="58"/>
    <n v="38.233333333333334"/>
    <n v="229400"/>
    <x v="0"/>
    <b v="0"/>
    <s v="Moderate"/>
    <n v="0.45300000000000001"/>
    <x v="1"/>
    <n v="0.14599999999999999"/>
    <n v="2"/>
    <n v="-8.9760000000000009"/>
    <n v="1"/>
    <n v="3.4299999999999997E-2"/>
    <n v="0.86699999999999999"/>
    <s v="3.49e-06"/>
    <n v="9.4500000000000001E-2"/>
    <n v="9.1499999999999998E-2"/>
    <n v="137.905"/>
    <n v="3"/>
    <s v="acoustic"/>
  </r>
  <r>
    <s v="1esE8j1nVyzEQ5rVhYXoJT"/>
    <x v="61"/>
    <s v="Parachute"/>
    <s v="Had It All"/>
    <x v="1"/>
    <n v="55"/>
    <n v="36.142166666666668"/>
    <n v="216853"/>
    <x v="0"/>
    <b v="0"/>
    <s v="Moderate"/>
    <n v="0.60599999999999998"/>
    <x v="0"/>
    <n v="0.54"/>
    <n v="7"/>
    <n v="-6.2709999999999999"/>
    <n v="0"/>
    <n v="3.39E-2"/>
    <n v="0.182"/>
    <n v="1.44E-4"/>
    <n v="0.14399999999999999"/>
    <n v="0.249"/>
    <n v="79.951999999999998"/>
    <n v="4"/>
    <s v="acoustic"/>
  </r>
  <r>
    <s v="68Yc9ylRZZPtsuVgtrxcDj"/>
    <x v="69"/>
    <s v="Take Me Back"/>
    <s v="Take Me Back ft. Yonnyboii"/>
    <x v="1"/>
    <n v="50"/>
    <n v="24.833333333333332"/>
    <n v="149000"/>
    <x v="0"/>
    <b v="0"/>
    <s v="Moderate"/>
    <n v="0.59499999999999997"/>
    <x v="0"/>
    <n v="0.64600000000000002"/>
    <n v="0"/>
    <n v="-5.4950000000000001"/>
    <n v="1"/>
    <n v="3.27E-2"/>
    <n v="0.11"/>
    <n v="0"/>
    <n v="0.25800000000000001"/>
    <n v="0.56299999999999994"/>
    <n v="120.04900000000001"/>
    <n v="4"/>
    <s v="acoustic"/>
  </r>
  <r>
    <s v="3tjjCCdXSdaVEo4q4y071G"/>
    <x v="70"/>
    <s v="Whole Again (Acoustic Version)"/>
    <s v="Whole Again - Acoustic Version"/>
    <x v="1"/>
    <n v="52"/>
    <n v="26.205166666666667"/>
    <n v="157231"/>
    <x v="0"/>
    <b v="0"/>
    <s v="Very Danceable"/>
    <n v="0.73599999999999999"/>
    <x v="1"/>
    <n v="0.14499999999999999"/>
    <n v="11"/>
    <n v="-9.2149999999999999"/>
    <n v="1"/>
    <n v="3.3599999999999998E-2"/>
    <n v="0.85499999999999998"/>
    <n v="0"/>
    <n v="0.108"/>
    <n v="0.23499999999999999"/>
    <n v="129.83199999999999"/>
    <n v="4"/>
    <s v="acoustic"/>
  </r>
  <r>
    <s v="3tob5ofeuvFKKSbOTldenC"/>
    <x v="67"/>
    <s v="Overpass Graffiti"/>
    <s v="Overpass Graffiti"/>
    <x v="1"/>
    <n v="54"/>
    <n v="37.767166666666668"/>
    <n v="226603"/>
    <x v="0"/>
    <b v="0"/>
    <s v="Moderate"/>
    <n v="0.47899999999999998"/>
    <x v="1"/>
    <n v="0.126"/>
    <n v="1"/>
    <n v="-13.974"/>
    <n v="1"/>
    <n v="3.0300000000000001E-2"/>
    <n v="0.96599999999999997"/>
    <n v="0"/>
    <n v="0.113"/>
    <n v="0.27900000000000003"/>
    <n v="96.326999999999998"/>
    <n v="4"/>
    <s v="acoustic"/>
  </r>
  <r>
    <s v="4E6cwWJWZw2zWf7VFbH7wf"/>
    <x v="29"/>
    <s v="Little Voice"/>
    <s v="Love Song"/>
    <x v="0"/>
    <n v="73"/>
    <n v="43.137666666666668"/>
    <n v="258826"/>
    <x v="0"/>
    <b v="0"/>
    <s v="Moderate"/>
    <n v="0.58299999999999996"/>
    <x v="2"/>
    <n v="0.78600000000000003"/>
    <n v="2"/>
    <n v="-3.1419999999999999"/>
    <n v="0"/>
    <n v="3.0099999999999998E-2"/>
    <n v="2.0799999999999999E-2"/>
    <n v="0"/>
    <n v="0.188"/>
    <n v="0.57299999999999995"/>
    <n v="123.05500000000001"/>
    <n v="4"/>
    <s v="acoustic"/>
  </r>
  <r>
    <s v="3uAdZpIbMTtVXitHVibLMV"/>
    <x v="15"/>
    <s v="Let Her Go"/>
    <s v="Let Her Go"/>
    <x v="3"/>
    <n v="38"/>
    <n v="32.335500000000003"/>
    <n v="194013"/>
    <x v="0"/>
    <b v="0"/>
    <s v="Moderate"/>
    <n v="0.54900000000000004"/>
    <x v="1"/>
    <n v="0.29099999999999998"/>
    <n v="2"/>
    <n v="-13.457000000000001"/>
    <n v="1"/>
    <n v="3.8800000000000001E-2"/>
    <n v="0.85799999999999998"/>
    <n v="8.4599999999999996E-4"/>
    <n v="0.129"/>
    <n v="0.376"/>
    <n v="75.153000000000006"/>
    <n v="4"/>
    <s v="acoustic"/>
  </r>
  <r>
    <s v="2LC523tbEPFpc1pnikbt5b"/>
    <x v="71"/>
    <s v="Still Life"/>
    <s v="Brighter Than Sunshine"/>
    <x v="1"/>
    <n v="53"/>
    <n v="40.406500000000001"/>
    <n v="242439"/>
    <x v="0"/>
    <b v="0"/>
    <s v="Moderate"/>
    <n v="0.41799999999999998"/>
    <x v="0"/>
    <n v="0.48899999999999999"/>
    <n v="6"/>
    <n v="-8.3729999999999993"/>
    <n v="0"/>
    <n v="3.2300000000000002E-2"/>
    <n v="0.28699999999999998"/>
    <n v="2.8799999999999999E-2"/>
    <n v="0.42"/>
    <n v="0.39800000000000002"/>
    <n v="72.891000000000005"/>
    <n v="4"/>
    <s v="acoustic"/>
  </r>
  <r>
    <s v="3ISLwA96mtx13Wx7K1PPPk"/>
    <x v="72"/>
    <s v="Love Story"/>
    <s v="Love Story"/>
    <x v="1"/>
    <n v="55"/>
    <n v="38.75"/>
    <n v="232500"/>
    <x v="0"/>
    <b v="0"/>
    <s v="Moderate"/>
    <n v="0.498"/>
    <x v="1"/>
    <n v="0.12"/>
    <n v="0"/>
    <n v="-17.721"/>
    <n v="1"/>
    <n v="4.87E-2"/>
    <n v="0.85099999999999998"/>
    <n v="0"/>
    <n v="0.17100000000000001"/>
    <n v="0.33800000000000002"/>
    <n v="121.187"/>
    <n v="4"/>
    <s v="acoustic"/>
  </r>
  <r>
    <s v="7Ca2CkwSqHyr3eCh8IRdjz"/>
    <x v="73"/>
    <s v="Mujer con Abanico"/>
    <s v="Mujer con Abanico"/>
    <x v="1"/>
    <n v="41"/>
    <n v="26.131166666666665"/>
    <n v="156787"/>
    <x v="0"/>
    <b v="0"/>
    <s v="Very Danceable"/>
    <n v="0.76900000000000002"/>
    <x v="1"/>
    <n v="0.13500000000000001"/>
    <n v="5"/>
    <n v="-12.048999999999999"/>
    <n v="0"/>
    <n v="6.0999999999999999E-2"/>
    <n v="0.98599999999999999"/>
    <n v="0.90500000000000003"/>
    <n v="0.106"/>
    <n v="0.47099999999999997"/>
    <n v="103.93899999999999"/>
    <n v="4"/>
    <s v="acoustic"/>
  </r>
  <r>
    <s v="6ql0ffq6Jvyh9OKqrJCMaP"/>
    <x v="74"/>
    <s v="In the Shadows"/>
    <s v="In the Shadows"/>
    <x v="1"/>
    <n v="46"/>
    <n v="43.970500000000001"/>
    <n v="263823"/>
    <x v="0"/>
    <b v="0"/>
    <s v="Moderate"/>
    <n v="0.434"/>
    <x v="0"/>
    <n v="0.46899999999999997"/>
    <n v="0"/>
    <n v="-7.8490000000000002"/>
    <n v="0"/>
    <n v="2.6499999999999999E-2"/>
    <n v="0.52"/>
    <n v="3.28E-4"/>
    <n v="0.108"/>
    <n v="5.6800000000000003E-2"/>
    <n v="136.28200000000001"/>
    <n v="4"/>
    <s v="acoustic"/>
  </r>
  <r>
    <s v="1EyvonxK8OGHRV4WDRdArc"/>
    <x v="75"/>
    <s v="Can You Feel the Love Tonight"/>
    <s v="Can You Feel the Love Tonight"/>
    <x v="0"/>
    <n v="63"/>
    <n v="41.819333333333333"/>
    <n v="250916"/>
    <x v="0"/>
    <b v="0"/>
    <s v="Moderate"/>
    <n v="0.45200000000000001"/>
    <x v="1"/>
    <n v="0.19800000000000001"/>
    <n v="10"/>
    <n v="-9.3740000000000006"/>
    <n v="1"/>
    <n v="3.3500000000000002E-2"/>
    <n v="0.93100000000000005"/>
    <s v="2.24e-06"/>
    <n v="0.1"/>
    <n v="0.217"/>
    <n v="119.499"/>
    <n v="4"/>
    <s v="acoustic"/>
  </r>
  <r>
    <s v="0EKBV6GybPtALXUgWqWrym"/>
    <x v="20"/>
    <s v="The Story"/>
    <s v="The Story"/>
    <x v="0"/>
    <n v="66"/>
    <n v="39.74883333333333"/>
    <n v="238493"/>
    <x v="0"/>
    <b v="0"/>
    <s v="Moderate"/>
    <n v="0.54400000000000004"/>
    <x v="0"/>
    <n v="0.5"/>
    <n v="11"/>
    <n v="-8.2530000000000001"/>
    <n v="1"/>
    <n v="2.5999999999999999E-2"/>
    <n v="3.2500000000000001E-2"/>
    <s v="3.78e-06"/>
    <n v="0.109"/>
    <n v="0.17699999999999999"/>
    <n v="93.620999999999995"/>
    <n v="4"/>
    <s v="acoustic"/>
  </r>
  <r>
    <s v="41A82PidFKhGX5hm1WoaDs"/>
    <x v="56"/>
    <s v="Better"/>
    <s v="Better"/>
    <x v="1"/>
    <n v="54"/>
    <n v="35.984333333333332"/>
    <n v="215906"/>
    <x v="0"/>
    <b v="0"/>
    <s v="Moderate"/>
    <n v="0.66200000000000003"/>
    <x v="1"/>
    <n v="0.187"/>
    <n v="2"/>
    <n v="-9.0030000000000001"/>
    <n v="1"/>
    <n v="2.6800000000000001E-2"/>
    <n v="0.96899999999999997"/>
    <n v="2.7300000000000002E-4"/>
    <n v="9.2200000000000004E-2"/>
    <n v="0.23300000000000001"/>
    <n v="104.988"/>
    <n v="4"/>
    <s v="acoustic"/>
  </r>
  <r>
    <s v="5oV8bZaShr2d01FFMHBUPq"/>
    <x v="3"/>
    <s v="Iris"/>
    <s v="Iris"/>
    <x v="0"/>
    <n v="62"/>
    <n v="30.189333333333334"/>
    <n v="181136"/>
    <x v="0"/>
    <b v="0"/>
    <s v="Moderate"/>
    <n v="0.497"/>
    <x v="1"/>
    <n v="0.13"/>
    <n v="6"/>
    <n v="-15.571"/>
    <n v="1"/>
    <n v="4.36E-2"/>
    <n v="0.84099999999999997"/>
    <n v="0"/>
    <n v="0.111"/>
    <n v="0.17899999999999999"/>
    <n v="130.76900000000001"/>
    <n v="3"/>
    <s v="acoustic"/>
  </r>
  <r>
    <s v="5nMRpGfqQ0tb1TMbqBVK2J"/>
    <x v="67"/>
    <s v="#Acoustic"/>
    <s v="Rockabye - Acoustic Version"/>
    <x v="1"/>
    <n v="57"/>
    <n v="26.244333333333334"/>
    <n v="157466"/>
    <x v="0"/>
    <b v="0"/>
    <s v="Moderate"/>
    <n v="0.52800000000000002"/>
    <x v="1"/>
    <n v="0.29099999999999998"/>
    <n v="10"/>
    <n v="-9.6959999999999997"/>
    <n v="1"/>
    <n v="4.0099999999999997E-2"/>
    <n v="0.91400000000000003"/>
    <n v="0"/>
    <n v="0.121"/>
    <n v="0.35499999999999998"/>
    <n v="76.805000000000007"/>
    <n v="4"/>
    <s v="acoustic"/>
  </r>
  <r>
    <s v="04qDUASuSfVp6fktfsxVej"/>
    <x v="76"/>
    <s v="I Need You More Today"/>
    <s v="I Need You More Today"/>
    <x v="0"/>
    <n v="68"/>
    <n v="38.954666666666668"/>
    <n v="233728"/>
    <x v="0"/>
    <b v="0"/>
    <s v="Moderate"/>
    <n v="0.46100000000000002"/>
    <x v="0"/>
    <n v="0.52200000000000002"/>
    <n v="11"/>
    <n v="-7.5129999999999999"/>
    <n v="1"/>
    <n v="4.2999999999999997E-2"/>
    <n v="0.36"/>
    <n v="0"/>
    <n v="0.123"/>
    <n v="0.44600000000000001"/>
    <n v="157.768"/>
    <n v="4"/>
    <s v="acoustic"/>
  </r>
  <r>
    <s v="3g61xRaqII8q1wlQDzv550"/>
    <x v="45"/>
    <s v="Cover Sessions, Vol. 4"/>
    <s v="Beautiful Soul"/>
    <x v="0"/>
    <n v="62"/>
    <n v="36.101999999999997"/>
    <n v="216612"/>
    <x v="0"/>
    <b v="0"/>
    <s v="Moderate"/>
    <n v="0.48299999999999998"/>
    <x v="0"/>
    <n v="0.50600000000000001"/>
    <n v="9"/>
    <n v="-6.0579999999999998"/>
    <n v="1"/>
    <n v="3.4700000000000002E-2"/>
    <n v="0.39400000000000002"/>
    <n v="0"/>
    <n v="9.4600000000000004E-2"/>
    <n v="0.70499999999999996"/>
    <n v="87.337000000000003"/>
    <n v="4"/>
    <s v="acoustic"/>
  </r>
  <r>
    <s v="3dglCYsVMjPbDlU2CC9Vq7"/>
    <x v="7"/>
    <s v="Know."/>
    <s v="Let's See What The Night Can Do"/>
    <x v="1"/>
    <n v="53"/>
    <n v="40.864333333333335"/>
    <n v="245186"/>
    <x v="0"/>
    <b v="0"/>
    <s v="Low"/>
    <n v="0.39200000000000002"/>
    <x v="0"/>
    <n v="0.42299999999999999"/>
    <n v="7"/>
    <n v="-7.8129999999999997"/>
    <n v="1"/>
    <n v="3.4799999999999998E-2"/>
    <n v="0.27"/>
    <n v="0"/>
    <n v="0.11700000000000001"/>
    <n v="0.28799999999999998"/>
    <n v="113.53700000000001"/>
    <n v="4"/>
    <s v="acoustic"/>
  </r>
  <r>
    <s v="2f4jlGvGi3ZDGogXys5FUp"/>
    <x v="60"/>
    <s v="Something In the Rain (Music from the Original TV Series)"/>
    <s v="La La La (Something In the Rain, Pt. 2) [Music from the Original TV Series]"/>
    <x v="1"/>
    <n v="44"/>
    <n v="36.602166666666669"/>
    <n v="219613"/>
    <x v="0"/>
    <b v="0"/>
    <s v="Moderate"/>
    <n v="0.42"/>
    <x v="1"/>
    <n v="0.2"/>
    <n v="7"/>
    <n v="-18.827000000000002"/>
    <n v="1"/>
    <n v="4.9200000000000001E-2"/>
    <n v="0.92900000000000005"/>
    <n v="0.49"/>
    <n v="7.5800000000000006E-2"/>
    <n v="0.16400000000000001"/>
    <n v="87.248000000000005"/>
    <n v="4"/>
    <s v="acoustic"/>
  </r>
  <r>
    <s v="3NCg46FWgnANZc9HQHQOQR"/>
    <x v="61"/>
    <s v="The Way It Was"/>
    <s v="Forever And Always"/>
    <x v="1"/>
    <n v="57"/>
    <n v="41.493333333333332"/>
    <n v="248960"/>
    <x v="0"/>
    <b v="0"/>
    <s v="Moderate"/>
    <n v="0.65700000000000003"/>
    <x v="2"/>
    <n v="0.71599999999999997"/>
    <n v="2"/>
    <n v="-5.6749999999999998"/>
    <n v="1"/>
    <n v="3.0099999999999998E-2"/>
    <n v="1.4E-2"/>
    <n v="0"/>
    <n v="4.8300000000000003E-2"/>
    <n v="0.435"/>
    <n v="93.924000000000007"/>
    <n v="4"/>
    <s v="acoustic"/>
  </r>
  <r>
    <s v="0muntSMuAZzcwYBBMZj6sf"/>
    <x v="77"/>
    <s v="When Marnie Was There Song Album - Just Know That I Love You."/>
    <s v="Fine On The Outside"/>
    <x v="1"/>
    <n v="52"/>
    <n v="42.077666666666666"/>
    <n v="252466"/>
    <x v="0"/>
    <b v="0"/>
    <s v="Moderate"/>
    <n v="0.495"/>
    <x v="1"/>
    <n v="0.185"/>
    <n v="9"/>
    <n v="-13.824"/>
    <n v="1"/>
    <n v="2.8799999999999999E-2"/>
    <n v="0.69199999999999995"/>
    <n v="4.0299999999999997E-3"/>
    <n v="0.109"/>
    <n v="0.19600000000000001"/>
    <n v="101.89"/>
    <n v="4"/>
    <s v="acoustic"/>
  </r>
  <r>
    <s v="4bXoVtbp6fN8FaSQvGQB41"/>
    <x v="4"/>
    <s v="Tree House Tapes"/>
    <s v="Tortured Soul"/>
    <x v="1"/>
    <n v="53"/>
    <n v="41.102166666666669"/>
    <n v="246613"/>
    <x v="0"/>
    <b v="0"/>
    <s v="Moderate"/>
    <n v="0.55000000000000004"/>
    <x v="0"/>
    <n v="0.499"/>
    <n v="4"/>
    <n v="-9.5020000000000007"/>
    <n v="1"/>
    <n v="3.3799999999999997E-2"/>
    <n v="0.47199999999999998"/>
    <s v="2.26e-06"/>
    <n v="7.9799999999999996E-2"/>
    <n v="0.14399999999999999"/>
    <n v="86.965999999999994"/>
    <n v="1"/>
    <s v="acoustic"/>
  </r>
  <r>
    <s v="3FRARAKLpHw3er9ZaTwaHO"/>
    <x v="56"/>
    <s v="I Believe in You"/>
    <s v="I Believe in You"/>
    <x v="1"/>
    <n v="53"/>
    <n v="33.131"/>
    <n v="198786"/>
    <x v="0"/>
    <b v="0"/>
    <s v="Moderate"/>
    <n v="0.53400000000000003"/>
    <x v="1"/>
    <n v="0.35899999999999999"/>
    <n v="0"/>
    <n v="-9.3109999999999999"/>
    <n v="1"/>
    <n v="2.9600000000000001E-2"/>
    <n v="0.44900000000000001"/>
    <s v="1.2e-05"/>
    <n v="0.33100000000000002"/>
    <n v="0.26700000000000002"/>
    <n v="131.804"/>
    <n v="4"/>
    <s v="acoustic"/>
  </r>
  <r>
    <s v="2Dzhwe90lhHXVU6lk7Nx0H"/>
    <x v="78"/>
    <s v="Cult Classic"/>
    <s v="At Home"/>
    <x v="1"/>
    <n v="55"/>
    <n v="37.773333333333333"/>
    <n v="226640"/>
    <x v="0"/>
    <b v="0"/>
    <s v="Low"/>
    <n v="0.378"/>
    <x v="0"/>
    <n v="0.52"/>
    <n v="11"/>
    <n v="-10.965"/>
    <n v="1"/>
    <n v="3.8199999999999998E-2"/>
    <n v="0.77700000000000002"/>
    <n v="8.8800000000000004E-2"/>
    <n v="9.7900000000000001E-2"/>
    <n v="0.35699999999999998"/>
    <n v="73.744"/>
    <n v="4"/>
    <s v="acoustic"/>
  </r>
  <r>
    <s v="12niARgkwxGsklcEwh6GlG"/>
    <x v="79"/>
    <s v="Hard Settle, Ain't Troubled"/>
    <s v="Portland, Maine"/>
    <x v="0"/>
    <n v="66"/>
    <n v="33.978166666666667"/>
    <n v="203869"/>
    <x v="0"/>
    <b v="0"/>
    <s v="Moderate"/>
    <n v="0.60599999999999998"/>
    <x v="1"/>
    <n v="0.34899999999999998"/>
    <n v="4"/>
    <n v="-13.967000000000001"/>
    <n v="1"/>
    <n v="3.1899999999999998E-2"/>
    <n v="0.76400000000000001"/>
    <n v="0.30599999999999999"/>
    <n v="0.112"/>
    <n v="0.156"/>
    <n v="80.070999999999998"/>
    <n v="4"/>
    <s v="acoustic"/>
  </r>
  <r>
    <s v="0v0pc1lIt5p6EBX7pnfOGF"/>
    <x v="9"/>
    <s v="Holding On and Letting Go LP"/>
    <s v="Holding On and Letting Go"/>
    <x v="1"/>
    <n v="49"/>
    <n v="52.906833333333331"/>
    <n v="317441"/>
    <x v="0"/>
    <b v="0"/>
    <s v="Moderate"/>
    <n v="0.48599999999999999"/>
    <x v="0"/>
    <n v="0.55500000000000005"/>
    <n v="2"/>
    <n v="-9.4659999999999993"/>
    <n v="1"/>
    <n v="2.7099999999999999E-2"/>
    <n v="0.81799999999999995"/>
    <n v="2.6900000000000001E-3"/>
    <n v="0.109"/>
    <n v="9.9199999999999997E-2"/>
    <n v="77.986999999999995"/>
    <n v="4"/>
    <s v="acoustic"/>
  </r>
  <r>
    <s v="5wQci5VCUjdbKnRD61XYwu"/>
    <x v="55"/>
    <s v="In Deepest Blue (Bonus Track Version)"/>
    <s v="The Flood"/>
    <x v="0"/>
    <n v="60"/>
    <n v="43.606666666666669"/>
    <n v="261640"/>
    <x v="0"/>
    <b v="0"/>
    <s v="Moderate"/>
    <n v="0.57699999999999996"/>
    <x v="0"/>
    <n v="0.44600000000000001"/>
    <n v="6"/>
    <n v="-11.343"/>
    <n v="1"/>
    <n v="3.1300000000000001E-2"/>
    <n v="0.55400000000000005"/>
    <n v="7.8200000000000006E-2"/>
    <n v="0.11600000000000001"/>
    <n v="0.26200000000000001"/>
    <n v="81.004999999999995"/>
    <n v="4"/>
    <s v="acoustic"/>
  </r>
  <r>
    <s v="0HQnJee8ShSDu2AYwibxst"/>
    <x v="80"/>
    <s v="Hanggang Kailan (Umuwi Ka Na Baby)"/>
    <s v="Hanggang Kailan (Umuwi Ka Na Baby)"/>
    <x v="3"/>
    <n v="38"/>
    <n v="35.322166666666668"/>
    <n v="211933"/>
    <x v="0"/>
    <b v="0"/>
    <s v="Moderate"/>
    <n v="0.59"/>
    <x v="0"/>
    <n v="0.40699999999999997"/>
    <n v="4"/>
    <n v="-9.0790000000000006"/>
    <n v="1"/>
    <n v="3.61E-2"/>
    <n v="0.86099999999999999"/>
    <s v="9.95e-06"/>
    <n v="9.4E-2"/>
    <n v="0.27600000000000002"/>
    <n v="145.852"/>
    <n v="4"/>
    <s v="acoustic"/>
  </r>
  <r>
    <s v="4VoJCUgNmnqG2qF0peDBkw"/>
    <x v="81"/>
    <s v="No More Doubt"/>
    <s v="Out of My League"/>
    <x v="0"/>
    <n v="67"/>
    <n v="36.466666666666669"/>
    <n v="218800"/>
    <x v="0"/>
    <b v="0"/>
    <s v="Moderate"/>
    <n v="0.53800000000000003"/>
    <x v="1"/>
    <n v="0.315"/>
    <n v="0"/>
    <n v="-10.057"/>
    <n v="1"/>
    <n v="2.9100000000000001E-2"/>
    <n v="0.96"/>
    <n v="5.96E-3"/>
    <n v="9.7900000000000001E-2"/>
    <n v="0.4"/>
    <n v="91.921000000000006"/>
    <n v="3"/>
    <s v="acoustic"/>
  </r>
  <r>
    <s v="7xLhousIHDxoGgeJNhO4Ye"/>
    <x v="38"/>
    <s v="Is There Anybody Out There? - Track by Track Commentary"/>
    <s v="Say Something"/>
    <x v="1"/>
    <n v="57"/>
    <n v="38.87766666666667"/>
    <n v="233266"/>
    <x v="0"/>
    <b v="0"/>
    <s v="Moderate"/>
    <n v="0.44700000000000001"/>
    <x v="1"/>
    <n v="0.158"/>
    <n v="2"/>
    <n v="-7.5709999999999997"/>
    <n v="1"/>
    <n v="3.5999999999999997E-2"/>
    <n v="0.872"/>
    <s v="1.58e-06"/>
    <n v="8.1600000000000006E-2"/>
    <n v="0.14199999999999999"/>
    <n v="140.94200000000001"/>
    <n v="3"/>
    <s v="acoustic"/>
  </r>
  <r>
    <s v="1bhpBRCLsVg3p7BWARbaDS"/>
    <x v="21"/>
    <s v="Into The Wild (Music For The Motion Picture)"/>
    <s v="Rise"/>
    <x v="0"/>
    <n v="60"/>
    <n v="26.075500000000002"/>
    <n v="156453"/>
    <x v="0"/>
    <b v="0"/>
    <s v="Moderate"/>
    <n v="0.40100000000000002"/>
    <x v="0"/>
    <n v="0.57999999999999996"/>
    <n v="7"/>
    <n v="-6.86"/>
    <n v="1"/>
    <n v="5.4100000000000002E-2"/>
    <n v="0.90600000000000003"/>
    <n v="0.217"/>
    <n v="0.13400000000000001"/>
    <n v="0.52600000000000002"/>
    <n v="173.27699999999999"/>
    <n v="3"/>
    <s v="acoustic"/>
  </r>
  <r>
    <s v="6NSlOEEtWlqvEFrjQsry77"/>
    <x v="82"/>
    <s v="Say I Am You"/>
    <s v="World Spins Madly On"/>
    <x v="0"/>
    <n v="64"/>
    <n v="27.522166666666667"/>
    <n v="165133"/>
    <x v="0"/>
    <b v="0"/>
    <s v="Moderate"/>
    <n v="0.502"/>
    <x v="1"/>
    <n v="0.311"/>
    <n v="1"/>
    <n v="-13.420999999999999"/>
    <n v="1"/>
    <n v="2.8500000000000001E-2"/>
    <n v="0.61699999999999999"/>
    <s v="4.32e-05"/>
    <n v="0.129"/>
    <n v="0.4"/>
    <n v="107.61199999999999"/>
    <n v="4"/>
    <s v="acoustic"/>
  </r>
  <r>
    <s v="1HqVCK9h4LiJ61aRrrKTAt"/>
    <x v="83"/>
    <s v="Thanksgiving Party"/>
    <s v="Stumble"/>
    <x v="3"/>
    <n v="0"/>
    <n v="36.104333333333336"/>
    <n v="216626"/>
    <x v="0"/>
    <b v="0"/>
    <s v="Moderate"/>
    <n v="0.67800000000000005"/>
    <x v="0"/>
    <n v="0.61199999999999999"/>
    <n v="4"/>
    <n v="-9.7639999999999993"/>
    <n v="1"/>
    <n v="3.39E-2"/>
    <n v="0.1"/>
    <n v="0.316"/>
    <n v="0.16400000000000001"/>
    <n v="0.85699999999999998"/>
    <n v="118.381"/>
    <n v="4"/>
    <s v="acoustic"/>
  </r>
  <r>
    <s v="0wP19iM8ULJyV0r0LFDsDv"/>
    <x v="84"/>
    <s v="Supa Chill"/>
    <s v="Paradise"/>
    <x v="3"/>
    <n v="0"/>
    <n v="41.904333333333334"/>
    <n v="251426"/>
    <x v="0"/>
    <b v="0"/>
    <s v="Moderate"/>
    <n v="0.65"/>
    <x v="0"/>
    <n v="0.40600000000000003"/>
    <n v="7"/>
    <n v="-13.492000000000001"/>
    <n v="1"/>
    <n v="7.6100000000000001E-2"/>
    <n v="0.56799999999999995"/>
    <n v="0"/>
    <n v="0.48399999999999999"/>
    <n v="0.86199999999999999"/>
    <n v="79.641999999999996"/>
    <n v="4"/>
    <s v="acoustic"/>
  </r>
  <r>
    <s v="27Fq4XyOkogdGLcfsVdjFb"/>
    <x v="85"/>
    <s v="Un tecito y a mimir"/>
    <s v="Moonlight, Mistletoe &amp; You"/>
    <x v="3"/>
    <n v="0"/>
    <n v="34.88216666666667"/>
    <n v="209293"/>
    <x v="0"/>
    <b v="0"/>
    <s v="Moderate"/>
    <n v="0.64900000000000002"/>
    <x v="1"/>
    <n v="0.39900000000000002"/>
    <n v="6"/>
    <n v="-7.8940000000000001"/>
    <n v="1"/>
    <n v="2.5600000000000001E-2"/>
    <n v="0.184"/>
    <n v="1.08E-4"/>
    <n v="0.113"/>
    <n v="0.34200000000000003"/>
    <n v="97.498000000000005"/>
    <n v="3"/>
    <s v="acoustic"/>
  </r>
  <r>
    <s v="45jGOHwYKgsRYbAJ8DR61d"/>
    <x v="24"/>
    <s v="é’ã®å…‰æ™¯"/>
    <s v="ã²ã¾ã‚ã‚Šã®ç´„æŸ"/>
    <x v="0"/>
    <n v="61"/>
    <n v="51.357666666666667"/>
    <n v="308146"/>
    <x v="0"/>
    <b v="0"/>
    <s v="Moderate"/>
    <n v="0.52300000000000002"/>
    <x v="0"/>
    <n v="0.44500000000000001"/>
    <n v="10"/>
    <n v="-6.359"/>
    <n v="1"/>
    <n v="3.2899999999999999E-2"/>
    <n v="0.188"/>
    <n v="0"/>
    <n v="0.18"/>
    <n v="0.33600000000000002"/>
    <n v="78.956999999999994"/>
    <n v="4"/>
    <s v="acoustic"/>
  </r>
  <r>
    <s v="4iObEYRE4FLm0D90gmZFef"/>
    <x v="86"/>
    <s v="Since U Been Gone"/>
    <s v="Since U Been Gone - Acoustic Version"/>
    <x v="1"/>
    <n v="50"/>
    <n v="36.861666666666665"/>
    <n v="221170"/>
    <x v="0"/>
    <b v="0"/>
    <s v="Moderate"/>
    <n v="0.53800000000000003"/>
    <x v="1"/>
    <n v="0.16200000000000001"/>
    <n v="5"/>
    <n v="-13.31"/>
    <n v="1"/>
    <n v="2.9899999999999999E-2"/>
    <n v="0.84699999999999998"/>
    <n v="0"/>
    <n v="0.114"/>
    <n v="0.36599999999999999"/>
    <n v="94.980999999999995"/>
    <n v="4"/>
    <s v="acoustic"/>
  </r>
  <r>
    <s v="3akr0ZrJxLMBLIFeNNKffW"/>
    <x v="87"/>
    <s v="One more time,One more chance"/>
    <s v="One more time,One more chance"/>
    <x v="1"/>
    <n v="47"/>
    <n v="55.131"/>
    <n v="330786"/>
    <x v="0"/>
    <b v="0"/>
    <s v="Moderate"/>
    <n v="0.51900000000000002"/>
    <x v="0"/>
    <n v="0.42899999999999999"/>
    <n v="11"/>
    <n v="-7.7069999999999999"/>
    <n v="0"/>
    <n v="3.1699999999999999E-2"/>
    <n v="0.65800000000000003"/>
    <n v="0"/>
    <n v="0.111"/>
    <n v="0.39600000000000002"/>
    <n v="129.49100000000001"/>
    <n v="4"/>
    <s v="acoustic"/>
  </r>
  <r>
    <s v="7BRwh1bemr9rFMDeTbcy5S"/>
    <x v="3"/>
    <s v="Creep"/>
    <s v="Creep"/>
    <x v="1"/>
    <n v="58"/>
    <n v="39.022500000000001"/>
    <n v="234135"/>
    <x v="0"/>
    <b v="0"/>
    <s v="Moderate"/>
    <n v="0.58499999999999996"/>
    <x v="1"/>
    <n v="0.10299999999999999"/>
    <n v="7"/>
    <n v="-12.682"/>
    <n v="1"/>
    <n v="3.09E-2"/>
    <n v="0.80100000000000005"/>
    <n v="0"/>
    <n v="0.126"/>
    <n v="0.17899999999999999"/>
    <n v="133.05699999999999"/>
    <n v="4"/>
    <s v="acoustic"/>
  </r>
  <r>
    <s v="3rzRo91l4htQvMXhsiECAX"/>
    <x v="88"/>
    <s v="Higher Love"/>
    <s v="Higher Love"/>
    <x v="3"/>
    <n v="30"/>
    <n v="28.875"/>
    <n v="173250"/>
    <x v="0"/>
    <b v="0"/>
    <s v="Moderate"/>
    <n v="0.57799999999999996"/>
    <x v="2"/>
    <n v="0.76300000000000001"/>
    <n v="2"/>
    <n v="-4.8239999999999998"/>
    <n v="1"/>
    <n v="9.98E-2"/>
    <n v="9.1600000000000001E-2"/>
    <s v="2.8e-06"/>
    <n v="7.4300000000000005E-2"/>
    <n v="0.39400000000000002"/>
    <n v="96.808000000000007"/>
    <n v="4"/>
    <s v="acoustic"/>
  </r>
  <r>
    <s v="0v1vufjir4OE4iRckLMoLd"/>
    <x v="89"/>
    <s v="Shinsekai"/>
    <s v="Hyouriittai"/>
    <x v="1"/>
    <n v="52"/>
    <n v="56.103166666666667"/>
    <n v="336619"/>
    <x v="0"/>
    <b v="0"/>
    <s v="Low"/>
    <n v="0.223"/>
    <x v="2"/>
    <n v="0.89100000000000001"/>
    <n v="1"/>
    <n v="-3.6259999999999999"/>
    <n v="0"/>
    <n v="0.13800000000000001"/>
    <n v="0.32500000000000001"/>
    <n v="0"/>
    <n v="0.28699999999999998"/>
    <n v="0.33300000000000002"/>
    <n v="159.88800000000001"/>
    <n v="4"/>
    <s v="acoustic"/>
  </r>
  <r>
    <s v="4vAnqYqm1DOo5IDVcxORX3"/>
    <x v="32"/>
    <s v="How Long Will I Love You"/>
    <s v="How Long Will I Love You"/>
    <x v="1"/>
    <n v="55"/>
    <n v="24.138333333333332"/>
    <n v="144830"/>
    <x v="0"/>
    <b v="0"/>
    <s v="Low"/>
    <n v="0.38200000000000001"/>
    <x v="1"/>
    <n v="0.157"/>
    <n v="1"/>
    <n v="-16.157"/>
    <n v="1"/>
    <n v="3.61E-2"/>
    <n v="0.878"/>
    <n v="4.73E-4"/>
    <n v="0.112"/>
    <n v="0.224"/>
    <n v="136.11000000000001"/>
    <n v="4"/>
    <s v="acoustic"/>
  </r>
  <r>
    <s v="2X5AFygz5SDYlXagyPw8kX"/>
    <x v="10"/>
    <s v="Binibini"/>
    <s v="Binibini"/>
    <x v="0"/>
    <n v="67"/>
    <n v="36.923000000000002"/>
    <n v="221538"/>
    <x v="0"/>
    <b v="0"/>
    <s v="Moderate"/>
    <n v="0.64200000000000002"/>
    <x v="1"/>
    <n v="0.374"/>
    <n v="5"/>
    <n v="-10.606"/>
    <n v="1"/>
    <n v="3.2000000000000001E-2"/>
    <n v="0.42299999999999999"/>
    <s v="1.54e-06"/>
    <n v="0.435"/>
    <n v="9.7900000000000001E-2"/>
    <n v="129.863"/>
    <n v="4"/>
    <s v="acoustic"/>
  </r>
  <r>
    <s v="13GvSZgg9LOs3M9uGbWsPE"/>
    <x v="28"/>
    <s v="You Were Supposed to Be Different"/>
    <s v="You Were Supposed to Be Different"/>
    <x v="1"/>
    <n v="45"/>
    <n v="32.161999999999999"/>
    <n v="192972"/>
    <x v="0"/>
    <b v="0"/>
    <s v="Moderate"/>
    <n v="0.436"/>
    <x v="1"/>
    <n v="0.23899999999999999"/>
    <n v="7"/>
    <n v="-12.83"/>
    <n v="1"/>
    <n v="2.8199999999999999E-2"/>
    <n v="0.86099999999999999"/>
    <s v="8.48e-05"/>
    <n v="9.0200000000000002E-2"/>
    <n v="0.13700000000000001"/>
    <n v="73.760999999999996"/>
    <n v="4"/>
    <s v="acoustic"/>
  </r>
  <r>
    <s v="4cR4nao0hqqBtklQmGVqbe"/>
    <x v="45"/>
    <s v="Cover Sessions, Vol. 3"/>
    <s v="Thinking out Loud"/>
    <x v="1"/>
    <n v="56"/>
    <n v="46.44"/>
    <n v="278640"/>
    <x v="0"/>
    <b v="0"/>
    <s v="Very Danceable"/>
    <n v="0.70199999999999996"/>
    <x v="1"/>
    <n v="0.32600000000000001"/>
    <n v="1"/>
    <n v="-6.6379999999999999"/>
    <n v="1"/>
    <n v="2.7199999999999998E-2"/>
    <n v="0.70499999999999996"/>
    <n v="0"/>
    <n v="0.16800000000000001"/>
    <n v="0.628"/>
    <n v="79.903999999999996"/>
    <n v="4"/>
    <s v="acoustic"/>
  </r>
  <r>
    <s v="4x7AdVDV9IFWp8pg4LMz90"/>
    <x v="90"/>
    <s v="Covers"/>
    <s v="Perfect / Style"/>
    <x v="3"/>
    <n v="37"/>
    <n v="35.477333333333334"/>
    <n v="212864"/>
    <x v="0"/>
    <b v="0"/>
    <s v="Moderate"/>
    <n v="0.59299999999999997"/>
    <x v="1"/>
    <n v="0.29199999999999998"/>
    <n v="11"/>
    <n v="-12.755000000000001"/>
    <n v="1"/>
    <n v="3.6400000000000002E-2"/>
    <n v="0.82799999999999996"/>
    <n v="0"/>
    <n v="0.17399999999999999"/>
    <n v="0.375"/>
    <n v="111.121"/>
    <n v="4"/>
    <s v="acoustic"/>
  </r>
  <r>
    <s v="5eNYumDY5PCXtKKJ0SWg2r"/>
    <x v="42"/>
    <s v="Barton Hollow"/>
    <s v="Poison &amp; Wine"/>
    <x v="1"/>
    <n v="54"/>
    <n v="36.577666666666666"/>
    <n v="219466"/>
    <x v="0"/>
    <b v="0"/>
    <s v="Low"/>
    <n v="0.28499999999999998"/>
    <x v="1"/>
    <n v="0.186"/>
    <n v="1"/>
    <n v="-12.728999999999999"/>
    <n v="1"/>
    <n v="2.8799999999999999E-2"/>
    <n v="0.76"/>
    <s v="7.3e-05"/>
    <n v="0.104"/>
    <n v="0.20300000000000001"/>
    <n v="153.84800000000001"/>
    <n v="4"/>
    <s v="acoustic"/>
  </r>
  <r>
    <s v="6dwkFmLUz6hx2CZG2EqLol"/>
    <x v="57"/>
    <s v="Stop All The World Now"/>
    <s v="Collide"/>
    <x v="0"/>
    <n v="66"/>
    <n v="41.52"/>
    <n v="249120"/>
    <x v="0"/>
    <b v="0"/>
    <s v="Moderate"/>
    <n v="0.63600000000000001"/>
    <x v="0"/>
    <n v="0.625"/>
    <n v="11"/>
    <n v="-7.8949999999999996"/>
    <n v="1"/>
    <n v="2.7699999999999999E-2"/>
    <n v="0.222"/>
    <s v="5.35e-05"/>
    <n v="0.11899999999999999"/>
    <n v="0.34200000000000003"/>
    <n v="93.930999999999997"/>
    <n v="4"/>
    <s v="acoustic"/>
  </r>
  <r>
    <s v="7aohwSiTDju51QmC54AUba"/>
    <x v="37"/>
    <s v="Be OK"/>
    <s v="You And I"/>
    <x v="0"/>
    <n v="63"/>
    <n v="24.733333333333334"/>
    <n v="148400"/>
    <x v="0"/>
    <b v="0"/>
    <s v="Moderate"/>
    <n v="0.69799999999999995"/>
    <x v="1"/>
    <n v="0.28499999999999998"/>
    <n v="0"/>
    <n v="-7.6319999999999997"/>
    <n v="1"/>
    <n v="5.5300000000000002E-2"/>
    <n v="0.92700000000000005"/>
    <n v="0"/>
    <n v="8.8300000000000003E-2"/>
    <n v="0.53"/>
    <n v="135.02699999999999"/>
    <n v="4"/>
    <s v="acoustic"/>
  </r>
  <r>
    <s v="7g3ryXLtXExZ0OFCj17Ae1"/>
    <x v="91"/>
    <s v="Give Me Your Forever"/>
    <s v="Give Me Your Forever (ft. Billkin)"/>
    <x v="1"/>
    <n v="58"/>
    <n v="40.799999999999997"/>
    <n v="244800"/>
    <x v="0"/>
    <b v="0"/>
    <s v="Moderate"/>
    <n v="0.60099999999999998"/>
    <x v="0"/>
    <n v="0.439"/>
    <n v="8"/>
    <n v="-7.5890000000000004"/>
    <n v="1"/>
    <n v="2.69E-2"/>
    <n v="6.4199999999999993E-2"/>
    <n v="0"/>
    <n v="9.4200000000000006E-2"/>
    <n v="0.27500000000000002"/>
    <n v="99.975999999999999"/>
    <n v="4"/>
    <s v="acoustic"/>
  </r>
  <r>
    <s v="5MrgVJzR1du1gz8XWe4m28"/>
    <x v="14"/>
    <s v="Coffee Shop"/>
    <s v="Falling in Love at a Coffee Shop"/>
    <x v="1"/>
    <n v="55"/>
    <n v="45.14"/>
    <n v="270840"/>
    <x v="0"/>
    <b v="0"/>
    <s v="Low"/>
    <n v="0.33200000000000002"/>
    <x v="1"/>
    <n v="0.29799999999999999"/>
    <n v="4"/>
    <n v="-14.173999999999999"/>
    <n v="1"/>
    <n v="5.6899999999999999E-2"/>
    <n v="0.875"/>
    <n v="7.8399999999999997E-3"/>
    <n v="0.114"/>
    <n v="0.24299999999999999"/>
    <n v="83.555000000000007"/>
    <n v="4"/>
    <s v="acoustic"/>
  </r>
  <r>
    <s v="5auMzVHFr5Zfw6IbKarZ56"/>
    <x v="92"/>
    <s v="Wreck of the Day"/>
    <s v="Breathe (2 AM)"/>
    <x v="0"/>
    <n v="65"/>
    <n v="46.637666666666668"/>
    <n v="279826"/>
    <x v="0"/>
    <b v="0"/>
    <s v="Low"/>
    <n v="0.38600000000000001"/>
    <x v="0"/>
    <n v="0.45200000000000001"/>
    <n v="2"/>
    <n v="-7.7149999999999999"/>
    <n v="1"/>
    <n v="2.7799999999999998E-2"/>
    <n v="0.41699999999999998"/>
    <n v="0"/>
    <n v="8.8099999999999998E-2"/>
    <n v="0.28699999999999998"/>
    <n v="169.83699999999999"/>
    <n v="3"/>
    <s v="acoustic"/>
  </r>
  <r>
    <s v="63bmIgH9sS6sX5Sc7MetGq"/>
    <x v="10"/>
    <s v="Episode"/>
    <s v="Habang Buhay"/>
    <x v="0"/>
    <n v="69"/>
    <n v="40.677833333333332"/>
    <n v="244067"/>
    <x v="0"/>
    <b v="0"/>
    <s v="Moderate"/>
    <n v="0.62"/>
    <x v="0"/>
    <n v="0.66800000000000004"/>
    <n v="9"/>
    <n v="-5.7190000000000003"/>
    <n v="1"/>
    <n v="3.0499999999999999E-2"/>
    <n v="8.7999999999999995E-2"/>
    <n v="0"/>
    <n v="0.36199999999999999"/>
    <n v="0.183"/>
    <n v="118.01300000000001"/>
    <n v="4"/>
    <s v="acoustic"/>
  </r>
  <r>
    <s v="3ZjSJv88euP3CdvTg07dZL"/>
    <x v="90"/>
    <s v="Beautiful Soul"/>
    <s v="Beautiful Soul"/>
    <x v="1"/>
    <n v="44"/>
    <n v="35.789666666666669"/>
    <n v="214738"/>
    <x v="0"/>
    <b v="0"/>
    <s v="Low"/>
    <n v="0.39400000000000002"/>
    <x v="1"/>
    <n v="0.28100000000000003"/>
    <n v="9"/>
    <n v="-11.12"/>
    <n v="1"/>
    <n v="4.1399999999999999E-2"/>
    <n v="0.82599999999999996"/>
    <n v="0"/>
    <n v="8.5400000000000004E-2"/>
    <n v="0.48499999999999999"/>
    <n v="90.043999999999997"/>
    <n v="4"/>
    <s v="acoustic"/>
  </r>
  <r>
    <s v="14BMBNRzv24eG6OKoIgPfP"/>
    <x v="1"/>
    <s v="Bulletproof"/>
    <s v="Bulletproof"/>
    <x v="3"/>
    <n v="39"/>
    <n v="34.612833333333334"/>
    <n v="207677"/>
    <x v="0"/>
    <b v="0"/>
    <s v="Moderate"/>
    <n v="0.59"/>
    <x v="0"/>
    <n v="0.55200000000000005"/>
    <n v="7"/>
    <n v="-10.496"/>
    <n v="1"/>
    <n v="4.07E-2"/>
    <n v="0.65400000000000003"/>
    <n v="3.59E-4"/>
    <n v="0.128"/>
    <n v="0.63500000000000001"/>
    <n v="155.101"/>
    <n v="5"/>
    <s v="acoustic"/>
  </r>
  <r>
    <s v="5pEmeoMUW38w1oU3kPelvR"/>
    <x v="25"/>
    <s v="Nightshade"/>
    <s v="Spectrum"/>
    <x v="1"/>
    <n v="54"/>
    <n v="44.250999999999998"/>
    <n v="265506"/>
    <x v="0"/>
    <b v="0"/>
    <s v="Moderate"/>
    <n v="0.53900000000000003"/>
    <x v="2"/>
    <n v="0.71699999999999997"/>
    <n v="3"/>
    <n v="-7.3849999999999998"/>
    <n v="1"/>
    <n v="3.1E-2"/>
    <n v="2.9799999999999998E-4"/>
    <n v="0.111"/>
    <n v="0.125"/>
    <n v="0.21199999999999999"/>
    <n v="117.973"/>
    <n v="4"/>
    <s v="acoustic"/>
  </r>
  <r>
    <s v="2h3VsZVKQeT0yLNQtCIRjn"/>
    <x v="90"/>
    <s v="Girls Like You (Acoustic Version)"/>
    <s v="Girls Like You - Acoustic Version"/>
    <x v="1"/>
    <n v="44"/>
    <n v="31.415666666666667"/>
    <n v="188494"/>
    <x v="0"/>
    <b v="0"/>
    <s v="Moderate"/>
    <n v="0.54300000000000004"/>
    <x v="1"/>
    <n v="0.13800000000000001"/>
    <n v="0"/>
    <n v="-14.331"/>
    <n v="1"/>
    <n v="5.3100000000000001E-2"/>
    <n v="0.79100000000000004"/>
    <n v="0"/>
    <n v="0.185"/>
    <n v="0.3"/>
    <n v="115.65"/>
    <n v="4"/>
    <s v="acoustic"/>
  </r>
  <r>
    <s v="1dcNEEtODRVZEevQ20Cgmy"/>
    <x v="10"/>
    <s v="Nangangamba"/>
    <s v="Nangangamba"/>
    <x v="0"/>
    <n v="70"/>
    <n v="35.058999999999997"/>
    <n v="210354"/>
    <x v="0"/>
    <b v="0"/>
    <s v="Moderate"/>
    <n v="0.62"/>
    <x v="0"/>
    <n v="0.54700000000000004"/>
    <n v="1"/>
    <n v="-6.7720000000000002"/>
    <n v="1"/>
    <n v="2.4799999999999999E-2"/>
    <n v="0.112"/>
    <n v="0"/>
    <n v="0.19"/>
    <n v="0.20799999999999999"/>
    <n v="98.031999999999996"/>
    <n v="4"/>
    <s v="acoustic"/>
  </r>
  <r>
    <s v="6huS9u0BDfeQHq0lObNLPl"/>
    <x v="93"/>
    <s v="Better Together"/>
    <s v="Better Together"/>
    <x v="0"/>
    <n v="64"/>
    <n v="33.451000000000001"/>
    <n v="200706"/>
    <x v="0"/>
    <b v="0"/>
    <s v="Very Danceable"/>
    <n v="0.76100000000000001"/>
    <x v="1"/>
    <n v="0.311"/>
    <n v="5"/>
    <n v="-10.597"/>
    <n v="1"/>
    <n v="6.9199999999999998E-2"/>
    <n v="0.64700000000000002"/>
    <n v="0"/>
    <n v="0.15"/>
    <n v="0.55300000000000005"/>
    <n v="109.89100000000001"/>
    <n v="4"/>
    <s v="acoustic"/>
  </r>
  <r>
    <s v="14NiShC5b46yQxBN1mu9VJ"/>
    <x v="15"/>
    <s v="Heartbreak Anniversary"/>
    <s v="Heartbreak Anniversary"/>
    <x v="1"/>
    <n v="40"/>
    <n v="33.209333333333333"/>
    <n v="199256"/>
    <x v="0"/>
    <b v="0"/>
    <s v="Moderate"/>
    <n v="0.67400000000000004"/>
    <x v="1"/>
    <n v="0.122"/>
    <n v="1"/>
    <n v="-17.963000000000001"/>
    <n v="1"/>
    <n v="4.2700000000000002E-2"/>
    <n v="0.88200000000000001"/>
    <n v="0"/>
    <n v="0.13900000000000001"/>
    <n v="0.33900000000000002"/>
    <n v="130.01400000000001"/>
    <n v="4"/>
    <s v="acoustic"/>
  </r>
  <r>
    <s v="3DyhwZyBFedvnt68fMi6vf"/>
    <x v="72"/>
    <s v="One More Time Around"/>
    <s v="One More Time Around"/>
    <x v="1"/>
    <n v="47"/>
    <n v="34.277666666666669"/>
    <n v="205666"/>
    <x v="0"/>
    <b v="0"/>
    <s v="Moderate"/>
    <n v="0.42899999999999999"/>
    <x v="1"/>
    <n v="0.35799999999999998"/>
    <n v="0"/>
    <n v="-9.0760000000000005"/>
    <n v="1"/>
    <n v="3.4599999999999999E-2"/>
    <n v="0.61399999999999999"/>
    <n v="0"/>
    <n v="8.7499999999999994E-2"/>
    <n v="0.187"/>
    <n v="134.279"/>
    <n v="4"/>
    <s v="acoustic"/>
  </r>
  <r>
    <s v="6kRZfOZSuoi0Htg6gROKDz"/>
    <x v="38"/>
    <s v="æµæ˜ŸèŠ±åœ’éŸ³æ¨‚å°ˆè¼¯"/>
    <s v="Say Something"/>
    <x v="1"/>
    <n v="40"/>
    <n v="38.262166666666666"/>
    <n v="229573"/>
    <x v="0"/>
    <b v="0"/>
    <s v="Moderate"/>
    <n v="0.45600000000000002"/>
    <x v="1"/>
    <n v="0.10100000000000001"/>
    <n v="2"/>
    <n v="-11.75"/>
    <n v="1"/>
    <n v="3.7999999999999999E-2"/>
    <n v="0.876"/>
    <s v="1.74e-06"/>
    <n v="7.7600000000000002E-2"/>
    <n v="0.155"/>
    <n v="139.89599999999999"/>
    <n v="3"/>
    <s v="acoustic"/>
  </r>
  <r>
    <s v="5e9DrLUUZraUE7mmniufjn"/>
    <x v="10"/>
    <s v="Episode"/>
    <s v="Heart Canâ€™t Lose"/>
    <x v="1"/>
    <n v="55"/>
    <n v="40.158666666666669"/>
    <n v="240952"/>
    <x v="0"/>
    <b v="0"/>
    <s v="Moderate"/>
    <n v="0.64700000000000002"/>
    <x v="0"/>
    <n v="0.56699999999999995"/>
    <n v="1"/>
    <n v="-8.9710000000000001"/>
    <n v="1"/>
    <n v="3.2800000000000003E-2"/>
    <n v="3.1800000000000002E-2"/>
    <n v="0"/>
    <n v="0.13300000000000001"/>
    <n v="0.374"/>
    <n v="125.871"/>
    <n v="4"/>
    <s v="acoustic"/>
  </r>
  <r>
    <s v="2z3HKlpENvfz1Am2MNF2pL"/>
    <x v="94"/>
    <s v="The Other Way"/>
    <s v="I Ain't Ever Loved No One - Acoustic"/>
    <x v="1"/>
    <n v="57"/>
    <n v="33.265666666666668"/>
    <n v="199594"/>
    <x v="0"/>
    <b v="0"/>
    <s v="Low"/>
    <n v="0.32200000000000001"/>
    <x v="1"/>
    <n v="0.21299999999999999"/>
    <n v="10"/>
    <n v="-14.914999999999999"/>
    <n v="0"/>
    <n v="3.1800000000000002E-2"/>
    <n v="0.61099999999999999"/>
    <n v="0"/>
    <n v="0.113"/>
    <n v="0.16"/>
    <n v="160.38900000000001"/>
    <n v="4"/>
    <s v="acoustic"/>
  </r>
  <r>
    <s v="33JX2be3eKVhl5xk8YQhVc"/>
    <x v="95"/>
    <s v="Till The Sun Turns Black"/>
    <s v="Empty"/>
    <x v="1"/>
    <n v="48"/>
    <n v="52.88"/>
    <n v="317280"/>
    <x v="0"/>
    <b v="0"/>
    <s v="Moderate"/>
    <n v="0.48199999999999998"/>
    <x v="1"/>
    <n v="0.38100000000000001"/>
    <n v="2"/>
    <n v="-13.93"/>
    <n v="1"/>
    <n v="3.1099999999999999E-2"/>
    <n v="0.45500000000000002"/>
    <n v="2.9499999999999999E-3"/>
    <n v="0.114"/>
    <n v="0.42"/>
    <n v="81.712000000000003"/>
    <n v="4"/>
    <s v="acoustic"/>
  </r>
  <r>
    <s v="29Ns3avs48iQhNQgrHMEkm"/>
    <x v="96"/>
    <s v="See You Again, Love Me Like You Do, Sugar (Acoustic Mashup)"/>
    <s v="See You Again, Love Me Like You Do, Sugar - Acoustic Mashup"/>
    <x v="1"/>
    <n v="54"/>
    <n v="38.660833333333336"/>
    <n v="231965"/>
    <x v="0"/>
    <b v="0"/>
    <s v="Low"/>
    <n v="0.39300000000000002"/>
    <x v="1"/>
    <n v="0.20699999999999999"/>
    <n v="10"/>
    <n v="-11.865"/>
    <n v="1"/>
    <n v="3.9199999999999999E-2"/>
    <n v="0.877"/>
    <n v="0"/>
    <n v="0.104"/>
    <n v="0.26200000000000001"/>
    <n v="163.99"/>
    <n v="4"/>
    <s v="acoustic"/>
  </r>
  <r>
    <s v="2XDxQ3VzovLzh60zgOaNEi"/>
    <x v="31"/>
    <s v="Covers"/>
    <s v="The Reason"/>
    <x v="1"/>
    <n v="53"/>
    <n v="33.466666666666669"/>
    <n v="200800"/>
    <x v="0"/>
    <b v="0"/>
    <s v="Moderate"/>
    <n v="0.42299999999999999"/>
    <x v="1"/>
    <n v="0.20699999999999999"/>
    <n v="7"/>
    <n v="-8.8109999999999999"/>
    <n v="1"/>
    <n v="2.8899999999999999E-2"/>
    <n v="0.88700000000000001"/>
    <n v="0"/>
    <n v="9.4799999999999995E-2"/>
    <n v="0.20899999999999999"/>
    <n v="149.66399999999999"/>
    <n v="4"/>
    <s v="acoustic"/>
  </r>
  <r>
    <s v="0J4sK2VO75cRSVoj0FokQn"/>
    <x v="32"/>
    <s v="Refuge"/>
    <s v="Fix You"/>
    <x v="0"/>
    <n v="60"/>
    <n v="43.610833333333332"/>
    <n v="261665"/>
    <x v="0"/>
    <b v="0"/>
    <s v="Moderate"/>
    <n v="0.52200000000000002"/>
    <x v="1"/>
    <n v="0.152"/>
    <n v="2"/>
    <n v="-14.996"/>
    <n v="1"/>
    <n v="3.0300000000000001E-2"/>
    <n v="0.78800000000000003"/>
    <s v="2.37e-05"/>
    <n v="0.14799999999999999"/>
    <n v="0.13300000000000001"/>
    <n v="144.05500000000001"/>
    <n v="4"/>
    <s v="acoustic"/>
  </r>
  <r>
    <s v="7bpR5j22mNID1pXwgRcZP1"/>
    <x v="56"/>
    <s v="Hand to Hold"/>
    <s v="Hand to Hold"/>
    <x v="1"/>
    <n v="54"/>
    <n v="38.600833333333334"/>
    <n v="231605"/>
    <x v="0"/>
    <b v="0"/>
    <s v="Moderate"/>
    <n v="0.54700000000000004"/>
    <x v="1"/>
    <n v="0.313"/>
    <n v="0"/>
    <n v="-7.9820000000000002"/>
    <n v="1"/>
    <n v="3.15E-2"/>
    <n v="0.61199999999999999"/>
    <s v="7.97e-06"/>
    <n v="0.111"/>
    <n v="0.26100000000000001"/>
    <n v="133.73699999999999"/>
    <n v="4"/>
    <s v="acoustic"/>
  </r>
  <r>
    <s v="1U1GtaJeYwGsPgqV9Me5bb"/>
    <x v="95"/>
    <s v="Trouble"/>
    <s v="Hold You in My Arms"/>
    <x v="0"/>
    <n v="62"/>
    <n v="51.033333333333331"/>
    <n v="306200"/>
    <x v="0"/>
    <b v="0"/>
    <s v="Moderate"/>
    <n v="0.504"/>
    <x v="1"/>
    <n v="0.32100000000000001"/>
    <n v="7"/>
    <n v="-13.807"/>
    <n v="1"/>
    <n v="3.1600000000000003E-2"/>
    <n v="0.14899999999999999"/>
    <n v="1.07E-4"/>
    <n v="0.14699999999999999"/>
    <n v="0.57699999999999996"/>
    <n v="170.13399999999999"/>
    <n v="3"/>
    <s v="acoustic"/>
  </r>
  <r>
    <s v="34p2uL1CvmaHn3uLfOKt8d"/>
    <x v="93"/>
    <s v="Public Record"/>
    <s v="One Last Dance"/>
    <x v="1"/>
    <n v="51"/>
    <n v="37.474499999999999"/>
    <n v="224847"/>
    <x v="0"/>
    <b v="0"/>
    <s v="Moderate"/>
    <n v="0.46600000000000003"/>
    <x v="1"/>
    <n v="0.161"/>
    <n v="7"/>
    <n v="-14.497999999999999"/>
    <n v="1"/>
    <n v="4.9200000000000001E-2"/>
    <n v="0.97899999999999998"/>
    <n v="2.3800000000000001E-4"/>
    <n v="0.23100000000000001"/>
    <n v="0.17100000000000001"/>
    <n v="139.167"/>
    <n v="3"/>
    <s v="acoustic"/>
  </r>
  <r>
    <s v="2EKxmYmUdAVXlaHCnnW13o"/>
    <x v="97"/>
    <s v="Cover Sessions, Vol. 2"/>
    <s v="Heaven"/>
    <x v="0"/>
    <n v="61"/>
    <n v="41.677166666666665"/>
    <n v="250063"/>
    <x v="0"/>
    <b v="0"/>
    <s v="Moderate"/>
    <n v="0.61899999999999999"/>
    <x v="1"/>
    <n v="0.28000000000000003"/>
    <n v="8"/>
    <n v="-10.238"/>
    <n v="0"/>
    <n v="3.1699999999999999E-2"/>
    <n v="0.73"/>
    <n v="0"/>
    <n v="0.10299999999999999"/>
    <n v="0.29199999999999998"/>
    <n v="129.94800000000001"/>
    <n v="4"/>
    <s v="acoustic"/>
  </r>
  <r>
    <s v="1jkBuvWI9IGEz9thXiKOlP"/>
    <x v="55"/>
    <s v="In Deepest Blue (Bonus Track Version)"/>
    <s v="The Spark - Bonus Track"/>
    <x v="1"/>
    <n v="51"/>
    <n v="33.655500000000004"/>
    <n v="201933"/>
    <x v="0"/>
    <b v="0"/>
    <s v="Moderate"/>
    <n v="0.59599999999999997"/>
    <x v="0"/>
    <n v="0.42899999999999999"/>
    <n v="3"/>
    <n v="-10.16"/>
    <n v="1"/>
    <n v="3.7699999999999997E-2"/>
    <n v="0.77500000000000002"/>
    <n v="1.0699999999999999E-2"/>
    <n v="9.6199999999999994E-2"/>
    <n v="0.22900000000000001"/>
    <n v="148.08600000000001"/>
    <n v="4"/>
    <s v="acoustic"/>
  </r>
  <r>
    <s v="7K36drJq6lInkW6Kkojucp"/>
    <x v="40"/>
    <s v="Medicine"/>
    <s v="American Beauty"/>
    <x v="0"/>
    <n v="63"/>
    <n v="26.3355"/>
    <n v="158013"/>
    <x v="0"/>
    <b v="0"/>
    <s v="Moderate"/>
    <n v="0.64500000000000002"/>
    <x v="1"/>
    <n v="0.16900000000000001"/>
    <n v="9"/>
    <n v="-15.744"/>
    <n v="1"/>
    <n v="3.1699999999999999E-2"/>
    <n v="0.84399999999999997"/>
    <n v="1.9000000000000001E-4"/>
    <n v="0.109"/>
    <n v="0.17799999999999999"/>
    <n v="167.82599999999999"/>
    <n v="4"/>
    <s v="acoustic"/>
  </r>
  <r>
    <s v="4PuUa8e5s7P3Zv1IdCGIsa"/>
    <x v="95"/>
    <s v="Part Of The Light"/>
    <s v="Such A Simple Thing"/>
    <x v="0"/>
    <n v="65"/>
    <n v="49.397666666666666"/>
    <n v="296386"/>
    <x v="0"/>
    <b v="0"/>
    <s v="Moderate"/>
    <n v="0.52200000000000002"/>
    <x v="1"/>
    <n v="0.25600000000000001"/>
    <n v="10"/>
    <n v="-11.215999999999999"/>
    <n v="1"/>
    <n v="2.58E-2"/>
    <n v="0.86"/>
    <n v="8.0599999999999997E-4"/>
    <n v="0.14199999999999999"/>
    <n v="0.13"/>
    <n v="76.349000000000004"/>
    <n v="4"/>
    <s v="acoustic"/>
  </r>
  <r>
    <s v="72SPsHheqN6J3sI520jT9E"/>
    <x v="98"/>
    <s v="Amos Lee"/>
    <s v="Colors"/>
    <x v="0"/>
    <n v="64"/>
    <n v="26.742166666666666"/>
    <n v="160453"/>
    <x v="0"/>
    <b v="0"/>
    <s v="Moderate"/>
    <n v="0.68100000000000005"/>
    <x v="1"/>
    <n v="0.16800000000000001"/>
    <n v="7"/>
    <n v="-13.397"/>
    <n v="1"/>
    <n v="2.9100000000000001E-2"/>
    <n v="0.79300000000000004"/>
    <n v="1.34E-4"/>
    <n v="0.109"/>
    <n v="0.28999999999999998"/>
    <n v="128.61500000000001"/>
    <n v="4"/>
    <s v="acoustic"/>
  </r>
  <r>
    <s v="52J3WARiRHMtXbFXUWrVgu"/>
    <x v="45"/>
    <s v="Cover Sessions, Vol. 6"/>
    <s v="Someone You Loved"/>
    <x v="1"/>
    <n v="57"/>
    <n v="30.407"/>
    <n v="182442"/>
    <x v="0"/>
    <b v="0"/>
    <s v="Very Danceable"/>
    <n v="0.73599999999999999"/>
    <x v="1"/>
    <n v="0.36399999999999999"/>
    <n v="1"/>
    <n v="-5.9660000000000002"/>
    <n v="1"/>
    <n v="3.49E-2"/>
    <n v="0.74099999999999999"/>
    <n v="0"/>
    <n v="9.3200000000000005E-2"/>
    <n v="0.371"/>
    <n v="110.023"/>
    <n v="4"/>
    <s v="acoustic"/>
  </r>
  <r>
    <s v="03VNgdCL9t8aPyvwZecglI"/>
    <x v="99"/>
    <s v="Know."/>
    <s v="More Than Friends (feat. Meghan Trainor)"/>
    <x v="1"/>
    <n v="54"/>
    <n v="30.226666666666667"/>
    <n v="181360"/>
    <x v="0"/>
    <b v="0"/>
    <s v="Moderate"/>
    <n v="0.45100000000000001"/>
    <x v="0"/>
    <n v="0.52800000000000002"/>
    <n v="2"/>
    <n v="-6.984"/>
    <n v="1"/>
    <n v="3.6400000000000002E-2"/>
    <n v="0.36599999999999999"/>
    <n v="0"/>
    <n v="8.1100000000000005E-2"/>
    <n v="0.52700000000000002"/>
    <n v="139.28"/>
    <n v="5"/>
    <s v="acoustic"/>
  </r>
  <r>
    <s v="3M6NL7PxIDZ3ArfPrBUTUP"/>
    <x v="100"/>
    <s v="Show Me the Blueprints."/>
    <s v="Flurry Rush"/>
    <x v="3"/>
    <n v="37"/>
    <n v="28.219666666666665"/>
    <n v="169318"/>
    <x v="0"/>
    <b v="1"/>
    <s v="Low"/>
    <n v="0.371"/>
    <x v="0"/>
    <n v="0.67400000000000004"/>
    <n v="9"/>
    <n v="-3.72"/>
    <n v="1"/>
    <n v="4.8800000000000003E-2"/>
    <n v="0.16900000000000001"/>
    <n v="0"/>
    <n v="8.8900000000000007E-2"/>
    <n v="0.92"/>
    <n v="87.602999999999994"/>
    <n v="4"/>
    <s v="acoustic"/>
  </r>
  <r>
    <s v="7jJH8F3PHlNvxfqEAAfFDl"/>
    <x v="29"/>
    <s v="The Blessed Unrest"/>
    <s v="I Choose You"/>
    <x v="0"/>
    <n v="63"/>
    <n v="36.42883333333333"/>
    <n v="218573"/>
    <x v="0"/>
    <b v="0"/>
    <s v="Very Danceable"/>
    <n v="0.73099999999999998"/>
    <x v="0"/>
    <n v="0.57199999999999995"/>
    <n v="6"/>
    <n v="-7.8890000000000002"/>
    <n v="0"/>
    <n v="4.4499999999999998E-2"/>
    <n v="0.105"/>
    <n v="1.2E-4"/>
    <n v="0.13300000000000001"/>
    <n v="0.94699999999999995"/>
    <n v="154.03800000000001"/>
    <n v="4"/>
    <s v="acoustic"/>
  </r>
  <r>
    <s v="6JNEDSev5Tp5VQR04SEBfV"/>
    <x v="101"/>
    <s v="Anchor"/>
    <s v="I Do Adore"/>
    <x v="1"/>
    <n v="53"/>
    <n v="24.86"/>
    <n v="149160"/>
    <x v="0"/>
    <b v="0"/>
    <s v="Moderate"/>
    <n v="0.69"/>
    <x v="1"/>
    <n v="0.33400000000000002"/>
    <n v="9"/>
    <n v="-5.6260000000000003"/>
    <n v="1"/>
    <n v="6.6000000000000003E-2"/>
    <n v="0.94699999999999995"/>
    <n v="0"/>
    <n v="8.9499999999999996E-2"/>
    <n v="0.8"/>
    <n v="74.721000000000004"/>
    <n v="4"/>
    <s v="acoustic"/>
  </r>
  <r>
    <s v="1gRa1tyGV1GY60QgU5DkQH"/>
    <x v="102"/>
    <s v="Christmas Faves 2022"/>
    <s v="I'll Be Home For Christmas"/>
    <x v="3"/>
    <n v="0"/>
    <n v="30.548833333333334"/>
    <n v="183293"/>
    <x v="0"/>
    <b v="0"/>
    <s v="Moderate"/>
    <n v="0.59399999999999997"/>
    <x v="1"/>
    <n v="0.307"/>
    <n v="10"/>
    <n v="-13.061999999999999"/>
    <n v="1"/>
    <n v="2.4899999999999999E-2"/>
    <n v="0.79600000000000004"/>
    <n v="4.1399999999999999E-2"/>
    <n v="0.15"/>
    <n v="0.24"/>
    <n v="94.025999999999996"/>
    <n v="3"/>
    <s v="acoustic"/>
  </r>
  <r>
    <s v="5DUAKXpyv3nL50PnAQbPS0"/>
    <x v="103"/>
    <s v="Tall Cans &amp; Loose Ends"/>
    <s v="Fuck You"/>
    <x v="3"/>
    <n v="36"/>
    <n v="28.210999999999999"/>
    <n v="169266"/>
    <x v="0"/>
    <b v="1"/>
    <s v="Moderate"/>
    <n v="0.60799999999999998"/>
    <x v="2"/>
    <n v="0.91700000000000004"/>
    <n v="11"/>
    <n v="-5.3410000000000002"/>
    <n v="1"/>
    <n v="6.0100000000000001E-2"/>
    <n v="0.23599999999999999"/>
    <n v="0"/>
    <n v="0.13"/>
    <n v="0.93600000000000005"/>
    <n v="117.875"/>
    <n v="4"/>
    <s v="acoustic"/>
  </r>
  <r>
    <s v="6OCsvPU6P84wJ0erggCRv4"/>
    <x v="104"/>
    <s v="pov: you have a holly jolly christmas"/>
    <s v="Christmas Comes But Once A Year"/>
    <x v="3"/>
    <n v="0"/>
    <n v="45.44"/>
    <n v="272640"/>
    <x v="0"/>
    <b v="0"/>
    <s v="Moderate"/>
    <n v="0.68700000000000006"/>
    <x v="0"/>
    <n v="0.49399999999999999"/>
    <n v="1"/>
    <n v="-9.4209999999999994"/>
    <n v="1"/>
    <n v="5.0500000000000003E-2"/>
    <n v="0.32400000000000001"/>
    <s v="5.5e-05"/>
    <n v="8.6699999999999999E-2"/>
    <n v="0.621"/>
    <n v="93.269000000000005"/>
    <n v="1"/>
    <s v="acoustic"/>
  </r>
  <r>
    <s v="7qJtNgmUyzy3R86vJwk9Wp"/>
    <x v="104"/>
    <s v="pov: you rock around the christmas tree"/>
    <s v="Christmas Comes But Once A Year"/>
    <x v="3"/>
    <n v="0"/>
    <n v="45.44"/>
    <n v="272640"/>
    <x v="0"/>
    <b v="0"/>
    <s v="Moderate"/>
    <n v="0.68700000000000006"/>
    <x v="0"/>
    <n v="0.49399999999999999"/>
    <n v="1"/>
    <n v="-9.4209999999999994"/>
    <n v="1"/>
    <n v="5.0500000000000003E-2"/>
    <n v="0.32400000000000001"/>
    <s v="5.5e-05"/>
    <n v="8.6699999999999999E-2"/>
    <n v="0.621"/>
    <n v="93.269000000000005"/>
    <n v="1"/>
    <s v="acoustic"/>
  </r>
  <r>
    <s v="6hy5eqMQ36KAChR1ZZ05zc"/>
    <x v="48"/>
    <s v="If I Ain't Got You (Acoustic)"/>
    <s v="If I Ain't Got You - Acoustic"/>
    <x v="1"/>
    <n v="55"/>
    <n v="29.418166666666668"/>
    <n v="176509"/>
    <x v="0"/>
    <b v="0"/>
    <s v="Moderate"/>
    <n v="0.65200000000000002"/>
    <x v="1"/>
    <n v="0.15"/>
    <n v="5"/>
    <n v="-12.699"/>
    <n v="1"/>
    <n v="3.6299999999999999E-2"/>
    <n v="0.92300000000000004"/>
    <n v="0"/>
    <n v="0.10199999999999999"/>
    <n v="0.36099999999999999"/>
    <n v="104.018"/>
    <n v="3"/>
    <s v="acoustic"/>
  </r>
  <r>
    <s v="4Gcx0DkgBVticyPDpezwg5"/>
    <x v="48"/>
    <s v="Believe (Acoustic)"/>
    <s v="Believe - Acoustic"/>
    <x v="1"/>
    <n v="57"/>
    <n v="29.981000000000002"/>
    <n v="179886"/>
    <x v="0"/>
    <b v="0"/>
    <s v="Very Danceable"/>
    <n v="0.76500000000000001"/>
    <x v="1"/>
    <n v="0.24099999999999999"/>
    <n v="4"/>
    <n v="-8.8650000000000002"/>
    <n v="1"/>
    <n v="3.73E-2"/>
    <n v="0.873"/>
    <n v="0"/>
    <n v="0.111"/>
    <n v="0.182"/>
    <n v="123.95"/>
    <n v="4"/>
    <s v="acoustic"/>
  </r>
  <r>
    <s v="0fUB9bwvKLRpOB18YZHz5N"/>
    <x v="27"/>
    <s v="Iris (Acoustic)"/>
    <s v="Iris - Acoustic"/>
    <x v="1"/>
    <n v="54"/>
    <n v="30.7"/>
    <n v="184200"/>
    <x v="0"/>
    <b v="0"/>
    <s v="Moderate"/>
    <n v="0.58899999999999997"/>
    <x v="1"/>
    <n v="0.249"/>
    <n v="2"/>
    <n v="-10.086"/>
    <n v="1"/>
    <n v="3.2899999999999999E-2"/>
    <n v="0.71699999999999997"/>
    <n v="0"/>
    <n v="0.106"/>
    <n v="0.36299999999999999"/>
    <n v="150.096"/>
    <n v="3"/>
    <s v="acoustic"/>
  </r>
  <r>
    <s v="0I0l2Oo5zjpCEphpDJL0Pm"/>
    <x v="24"/>
    <s v="è¨€ãƒŽè‘‰"/>
    <s v="Rain - Long Ver."/>
    <x v="1"/>
    <n v="44"/>
    <n v="74.551000000000002"/>
    <n v="447306"/>
    <x v="0"/>
    <b v="0"/>
    <s v="Moderate"/>
    <n v="0.58799999999999997"/>
    <x v="0"/>
    <n v="0.60399999999999998"/>
    <n v="9"/>
    <n v="-7.6020000000000003"/>
    <n v="1"/>
    <n v="2.4E-2"/>
    <n v="0.34300000000000003"/>
    <s v="6.86e-05"/>
    <n v="0.252"/>
    <n v="0.35099999999999998"/>
    <n v="92.02"/>
    <n v="4"/>
    <s v="acoustic"/>
  </r>
  <r>
    <s v="4v0RBzYNzTknP6d0zN2VQb"/>
    <x v="105"/>
    <s v="Cheek to Cheek~I Love Cinemas~"/>
    <s v="C'est si bon"/>
    <x v="1"/>
    <n v="51"/>
    <n v="18.057666666666666"/>
    <n v="108346"/>
    <x v="0"/>
    <b v="0"/>
    <s v="Very Danceable"/>
    <n v="0.73499999999999999"/>
    <x v="1"/>
    <n v="0.20300000000000001"/>
    <n v="9"/>
    <n v="-13.237"/>
    <n v="0"/>
    <n v="5.3900000000000003E-2"/>
    <n v="0.85399999999999998"/>
    <n v="1.64E-3"/>
    <n v="0.105"/>
    <n v="0.47899999999999998"/>
    <n v="113.913"/>
    <n v="4"/>
    <s v="acoustic"/>
  </r>
  <r>
    <s v="1FQH1FxPwwIj9aKyPBDf9b"/>
    <x v="90"/>
    <s v="Baby (Acoustic Version)"/>
    <s v="Baby (Acoustic Version)"/>
    <x v="1"/>
    <n v="42"/>
    <n v="26.794666666666668"/>
    <n v="160768"/>
    <x v="0"/>
    <b v="0"/>
    <s v="Moderate"/>
    <n v="0.65500000000000003"/>
    <x v="1"/>
    <n v="0.14699999999999999"/>
    <n v="8"/>
    <n v="-14.409000000000001"/>
    <n v="1"/>
    <n v="3.7100000000000001E-2"/>
    <n v="0.88"/>
    <n v="0"/>
    <n v="0.26600000000000001"/>
    <n v="0.32800000000000001"/>
    <n v="116.10299999999999"/>
    <n v="4"/>
    <s v="acoustic"/>
  </r>
  <r>
    <s v="4YgEwanzISFU4xa27saTux"/>
    <x v="89"/>
    <s v="Land"/>
    <s v="Reason"/>
    <x v="1"/>
    <n v="47"/>
    <n v="50.72"/>
    <n v="304320"/>
    <x v="0"/>
    <b v="0"/>
    <s v="Low"/>
    <n v="0.36299999999999999"/>
    <x v="2"/>
    <n v="0.81899999999999995"/>
    <n v="7"/>
    <n v="-3.1280000000000001"/>
    <n v="1"/>
    <n v="6.3399999999999998E-2"/>
    <n v="5.91E-2"/>
    <n v="0"/>
    <n v="9.8799999999999999E-2"/>
    <n v="0.46800000000000003"/>
    <n v="122.527"/>
    <n v="4"/>
    <s v="acoustic"/>
  </r>
  <r>
    <s v="7pKMoXeiCv40wbrjII06VO"/>
    <x v="106"/>
    <s v="I Like Me Better"/>
    <s v="I Like Me Better"/>
    <x v="1"/>
    <n v="54"/>
    <n v="33.584666666666664"/>
    <n v="201508"/>
    <x v="0"/>
    <b v="0"/>
    <s v="Moderate"/>
    <n v="0.47299999999999998"/>
    <x v="1"/>
    <n v="0.26300000000000001"/>
    <n v="9"/>
    <n v="-8.609"/>
    <n v="1"/>
    <n v="3.3000000000000002E-2"/>
    <n v="0.81399999999999995"/>
    <n v="0"/>
    <n v="0.14199999999999999"/>
    <n v="0.315"/>
    <n v="87.144999999999996"/>
    <n v="4"/>
    <s v="acoustic"/>
  </r>
  <r>
    <s v="5MYPzdIWgx3pMLRGlq2fVq"/>
    <x v="10"/>
    <s v="Asan Ka Na Ba"/>
    <s v="Asan Ka Na Ba"/>
    <x v="0"/>
    <n v="73"/>
    <n v="40.18866666666667"/>
    <n v="241132"/>
    <x v="0"/>
    <b v="0"/>
    <s v="Moderate"/>
    <n v="0.67600000000000005"/>
    <x v="2"/>
    <n v="0.76800000000000002"/>
    <n v="5"/>
    <n v="-5.6950000000000003"/>
    <n v="0"/>
    <n v="2.9399999999999999E-2"/>
    <n v="0.14899999999999999"/>
    <n v="1.47E-3"/>
    <n v="0.34499999999999997"/>
    <n v="0.49299999999999999"/>
    <n v="105.999"/>
    <n v="4"/>
    <s v="acoustic"/>
  </r>
  <r>
    <s v="2Qw1KFrJ1q6qHXxWGh51kC"/>
    <x v="45"/>
    <s v="Cover Sessions, Vol. 3"/>
    <s v="A Thousand Years"/>
    <x v="1"/>
    <n v="56"/>
    <n v="43.951666666666668"/>
    <n v="263710"/>
    <x v="0"/>
    <b v="0"/>
    <s v="Moderate"/>
    <n v="0.41"/>
    <x v="1"/>
    <n v="0.221"/>
    <n v="5"/>
    <n v="-11.673"/>
    <n v="1"/>
    <n v="3.15E-2"/>
    <n v="0.76800000000000002"/>
    <n v="0"/>
    <n v="0.106"/>
    <n v="0.22800000000000001"/>
    <n v="139.529"/>
    <n v="3"/>
    <s v="acoustic"/>
  </r>
  <r>
    <s v="66V40iz2mphPbYvuJVj13i"/>
    <x v="86"/>
    <s v="drivers license"/>
    <s v="drivers license"/>
    <x v="1"/>
    <n v="56"/>
    <n v="41.057499999999997"/>
    <n v="246345"/>
    <x v="0"/>
    <b v="0"/>
    <s v="Moderate"/>
    <n v="0.439"/>
    <x v="1"/>
    <n v="0.217"/>
    <n v="2"/>
    <n v="-13.166"/>
    <n v="1"/>
    <n v="4.1300000000000003E-2"/>
    <n v="0.93300000000000005"/>
    <n v="0"/>
    <n v="0.126"/>
    <n v="0.373"/>
    <n v="144.41300000000001"/>
    <n v="4"/>
    <s v="acoustic"/>
  </r>
  <r>
    <s v="4Bo6FwC7Oe9zywSZc6q7hO"/>
    <x v="7"/>
    <s v="YES!"/>
    <s v="Love Someone"/>
    <x v="1"/>
    <n v="59"/>
    <n v="42.862166666666667"/>
    <n v="257173"/>
    <x v="0"/>
    <b v="0"/>
    <s v="Moderate"/>
    <n v="0.58199999999999996"/>
    <x v="1"/>
    <n v="0.34699999999999998"/>
    <n v="7"/>
    <n v="-14.769"/>
    <n v="1"/>
    <n v="3.0499999999999999E-2"/>
    <n v="0.317"/>
    <n v="6.7799999999999996E-3"/>
    <n v="0.111"/>
    <n v="7.9699999999999993E-2"/>
    <n v="97.956999999999994"/>
    <n v="4"/>
    <s v="acoustic"/>
  </r>
  <r>
    <s v="6Xbi3gOwMal0Ds3ETvBBwe"/>
    <x v="107"/>
    <s v="The Winner Takes It All (Acoustic)"/>
    <s v="The Winner Takes It All - Acoustic"/>
    <x v="1"/>
    <n v="57"/>
    <n v="26.501999999999999"/>
    <n v="159012"/>
    <x v="0"/>
    <b v="0"/>
    <s v="Moderate"/>
    <n v="0.42599999999999999"/>
    <x v="1"/>
    <n v="0.127"/>
    <n v="6"/>
    <n v="-13.287000000000001"/>
    <n v="1"/>
    <n v="6.4799999999999996E-2"/>
    <n v="0.86299999999999999"/>
    <s v="4.3e-06"/>
    <n v="9.9299999999999999E-2"/>
    <n v="0.14899999999999999"/>
    <n v="62.534999999999997"/>
    <n v="5"/>
    <s v="acoustic"/>
  </r>
  <r>
    <s v="6QXolVfFVjUHPp5TVzsjIF"/>
    <x v="33"/>
    <s v="Only Time"/>
    <s v="Only Time"/>
    <x v="1"/>
    <n v="56"/>
    <n v="29.757666666666665"/>
    <n v="178546"/>
    <x v="0"/>
    <b v="0"/>
    <s v="Moderate"/>
    <n v="0.69599999999999995"/>
    <x v="1"/>
    <n v="0.26100000000000001"/>
    <n v="9"/>
    <n v="-12.106999999999999"/>
    <n v="0"/>
    <n v="3.61E-2"/>
    <n v="0.73699999999999999"/>
    <s v="1.24e-05"/>
    <n v="0.11"/>
    <n v="0.36099999999999999"/>
    <n v="136.053"/>
    <n v="3"/>
    <s v="acoustic"/>
  </r>
  <r>
    <s v="71ehTADpxs85ULrZgSEKCy"/>
    <x v="108"/>
    <s v="One Cell In The Sea"/>
    <s v="Almost Lover"/>
    <x v="1"/>
    <n v="57"/>
    <n v="44.8"/>
    <n v="268800"/>
    <x v="0"/>
    <b v="0"/>
    <s v="Moderate"/>
    <n v="0.54900000000000004"/>
    <x v="1"/>
    <n v="0.24"/>
    <n v="0"/>
    <n v="-7.7779999999999996"/>
    <n v="1"/>
    <n v="3.3799999999999997E-2"/>
    <n v="0.94699999999999995"/>
    <n v="0"/>
    <n v="0.106"/>
    <n v="0.16700000000000001"/>
    <n v="119.58"/>
    <n v="4"/>
    <s v="acoustic"/>
  </r>
  <r>
    <s v="4zYkSXrfgJyrNkNv3mTiIZ"/>
    <x v="109"/>
    <s v="Dance Monkey"/>
    <s v="Dance Monkey"/>
    <x v="1"/>
    <n v="51"/>
    <n v="32.975000000000001"/>
    <n v="197850"/>
    <x v="0"/>
    <b v="0"/>
    <s v="Moderate"/>
    <n v="0.54100000000000004"/>
    <x v="1"/>
    <n v="0.192"/>
    <n v="0"/>
    <n v="-13.994999999999999"/>
    <n v="0"/>
    <n v="2.8199999999999999E-2"/>
    <n v="0.89300000000000002"/>
    <n v="0"/>
    <n v="0.193"/>
    <n v="0.317"/>
    <n v="139.93799999999999"/>
    <n v="4"/>
    <s v="acoustic"/>
  </r>
  <r>
    <s v="1nFJAKHt0jgzVogbNJT3Zz"/>
    <x v="61"/>
    <s v="Parachute"/>
    <s v="Ocean"/>
    <x v="1"/>
    <n v="48"/>
    <n v="37.06666666666667"/>
    <n v="222400"/>
    <x v="0"/>
    <b v="0"/>
    <s v="Moderate"/>
    <n v="0.66200000000000003"/>
    <x v="2"/>
    <n v="0.71099999999999997"/>
    <n v="5"/>
    <n v="-4.9240000000000004"/>
    <n v="1"/>
    <n v="2.7900000000000001E-2"/>
    <n v="6.8599999999999994E-2"/>
    <s v="1.17e-05"/>
    <n v="8.5000000000000006E-2"/>
    <n v="0.35199999999999998"/>
    <n v="119.989"/>
    <n v="4"/>
    <s v="acoustic"/>
  </r>
  <r>
    <s v="1RZkqIEM5aV000fKgz9J46"/>
    <x v="3"/>
    <s v="Dream a Little Dream of Me"/>
    <s v="Dream a Little Dream of Me"/>
    <x v="1"/>
    <n v="52"/>
    <n v="23.729833333333332"/>
    <n v="142379"/>
    <x v="0"/>
    <b v="0"/>
    <s v="Moderate"/>
    <n v="0.66500000000000004"/>
    <x v="1"/>
    <n v="0.185"/>
    <n v="1"/>
    <n v="-13.852"/>
    <n v="1"/>
    <n v="3.8100000000000002E-2"/>
    <n v="0.91300000000000003"/>
    <n v="0"/>
    <n v="0.33400000000000002"/>
    <n v="0.45800000000000002"/>
    <n v="82.474000000000004"/>
    <n v="4"/>
    <s v="acoustic"/>
  </r>
  <r>
    <s v="0n3E6m57nDZJDyUHllaMDp"/>
    <x v="67"/>
    <s v="Back For Good"/>
    <s v="Back For Good"/>
    <x v="1"/>
    <n v="54"/>
    <n v="32.444499999999998"/>
    <n v="194667"/>
    <x v="0"/>
    <b v="0"/>
    <s v="Moderate"/>
    <n v="0.59099999999999997"/>
    <x v="1"/>
    <n v="0.17499999999999999"/>
    <n v="6"/>
    <n v="-12.959"/>
    <n v="1"/>
    <n v="3.7999999999999999E-2"/>
    <n v="0.92700000000000005"/>
    <n v="0"/>
    <n v="0.13300000000000001"/>
    <n v="0.35199999999999998"/>
    <n v="139.90199999999999"/>
    <n v="4"/>
    <s v="acoustic"/>
  </r>
  <r>
    <s v="2gBYjMXW65daBB1elr68JK"/>
    <x v="32"/>
    <s v="OK"/>
    <s v="OK"/>
    <x v="1"/>
    <n v="55"/>
    <n v="35.4"/>
    <n v="212400"/>
    <x v="0"/>
    <b v="0"/>
    <s v="Moderate"/>
    <n v="0.48899999999999999"/>
    <x v="1"/>
    <n v="0.183"/>
    <n v="0"/>
    <n v="-14.769"/>
    <n v="1"/>
    <n v="3.3000000000000002E-2"/>
    <n v="0.90700000000000003"/>
    <s v="3.95e-05"/>
    <n v="0.106"/>
    <n v="0.48599999999999999"/>
    <n v="79.960999999999999"/>
    <n v="4"/>
    <s v="acoustic"/>
  </r>
  <r>
    <s v="1FF6TogE9ELY71XnLPoEv6"/>
    <x v="15"/>
    <s v="Just The Two Of Us"/>
    <s v="Just The Two Of Us"/>
    <x v="1"/>
    <n v="41"/>
    <n v="32.717333333333336"/>
    <n v="196304"/>
    <x v="0"/>
    <b v="0"/>
    <s v="Moderate"/>
    <n v="0.61799999999999999"/>
    <x v="1"/>
    <n v="8.3000000000000004E-2"/>
    <n v="4"/>
    <n v="-23.664999999999999"/>
    <n v="1"/>
    <n v="5.7000000000000002E-2"/>
    <n v="0.745"/>
    <n v="1.2300000000000001E-4"/>
    <n v="0.14599999999999999"/>
    <n v="0.59699999999999998"/>
    <n v="90.864999999999995"/>
    <n v="4"/>
    <s v="acoustic"/>
  </r>
  <r>
    <s v="6G8xunNOicxhPPq9sG2raG"/>
    <x v="45"/>
    <s v="Cover Sessions, Vol. 6"/>
    <s v="Hey There Delilah"/>
    <x v="1"/>
    <n v="49"/>
    <n v="38.478000000000002"/>
    <n v="230868"/>
    <x v="0"/>
    <b v="0"/>
    <s v="Moderate"/>
    <n v="0.66400000000000003"/>
    <x v="1"/>
    <n v="0.31900000000000001"/>
    <n v="0"/>
    <n v="-8.1489999999999991"/>
    <n v="0"/>
    <n v="2.7099999999999999E-2"/>
    <n v="0.86199999999999999"/>
    <n v="0"/>
    <n v="0.121"/>
    <n v="0.25800000000000001"/>
    <n v="105.036"/>
    <n v="4"/>
    <s v="acoustic"/>
  </r>
  <r>
    <s v="6LsHKNorX6fPBNcGxU1jQZ"/>
    <x v="15"/>
    <s v="Arcade"/>
    <s v="Arcade"/>
    <x v="3"/>
    <n v="37"/>
    <n v="31.123000000000001"/>
    <n v="186738"/>
    <x v="0"/>
    <b v="0"/>
    <s v="Moderate"/>
    <n v="0.40799999999999997"/>
    <x v="1"/>
    <n v="0.26600000000000001"/>
    <n v="10"/>
    <n v="-12.9"/>
    <n v="0"/>
    <n v="4.0399999999999998E-2"/>
    <n v="0.875"/>
    <n v="4.9799999999999996E-4"/>
    <n v="0.104"/>
    <n v="0.35"/>
    <n v="143.65100000000001"/>
    <n v="4"/>
    <s v="acoustic"/>
  </r>
  <r>
    <s v="1uxm47Qn1JhUWZHQfcY6w1"/>
    <x v="3"/>
    <s v="Yellow"/>
    <s v="Yellow"/>
    <x v="1"/>
    <n v="52"/>
    <n v="32.256"/>
    <n v="193536"/>
    <x v="0"/>
    <b v="0"/>
    <s v="Moderate"/>
    <n v="0.623"/>
    <x v="1"/>
    <n v="0.13200000000000001"/>
    <n v="0"/>
    <n v="-13.667999999999999"/>
    <n v="1"/>
    <n v="3.5000000000000003E-2"/>
    <n v="0.89300000000000002"/>
    <n v="0"/>
    <n v="0.217"/>
    <n v="0.26600000000000001"/>
    <n v="82.105000000000004"/>
    <n v="4"/>
    <s v="acoustic"/>
  </r>
  <r>
    <s v="2nBrIzKacrNdIxs90FlsT1"/>
    <x v="109"/>
    <s v="Wake Me Up"/>
    <s v="Wake Me Up"/>
    <x v="1"/>
    <n v="58"/>
    <n v="32.803166666666669"/>
    <n v="196819"/>
    <x v="0"/>
    <b v="0"/>
    <s v="Moderate"/>
    <n v="0.49399999999999999"/>
    <x v="1"/>
    <n v="0.214"/>
    <n v="7"/>
    <n v="-11.041"/>
    <n v="1"/>
    <n v="3.6299999999999999E-2"/>
    <n v="0.92"/>
    <s v="1.07e-05"/>
    <n v="0.107"/>
    <n v="0.35"/>
    <n v="125.98099999999999"/>
    <n v="3"/>
    <s v="acoustic"/>
  </r>
  <r>
    <s v="5mdjfBsyzl78NQI4sI4IzR"/>
    <x v="110"/>
    <s v="Walking Blind (feat. Carina Round)"/>
    <s v="Walking Blind"/>
    <x v="1"/>
    <n v="48"/>
    <n v="33.573333333333331"/>
    <n v="201440"/>
    <x v="0"/>
    <b v="0"/>
    <s v="Low"/>
    <n v="0.374"/>
    <x v="1"/>
    <n v="0.183"/>
    <n v="9"/>
    <n v="-13.225"/>
    <n v="1"/>
    <n v="2.81E-2"/>
    <n v="0.89700000000000002"/>
    <n v="3.8699999999999998E-2"/>
    <n v="0.109"/>
    <n v="0.13400000000000001"/>
    <n v="82.042000000000002"/>
    <n v="4"/>
    <s v="acoustic"/>
  </r>
  <r>
    <s v="7mQmu0JSoEyYU763IJXhIA"/>
    <x v="78"/>
    <s v="Headphones"/>
    <s v="Headphones"/>
    <x v="1"/>
    <n v="56"/>
    <n v="34.166333333333334"/>
    <n v="204998"/>
    <x v="0"/>
    <b v="0"/>
    <s v="Moderate"/>
    <n v="0.55900000000000005"/>
    <x v="0"/>
    <n v="0.45500000000000002"/>
    <n v="5"/>
    <n v="-8.9369999999999994"/>
    <n v="1"/>
    <n v="3.0599999999999999E-2"/>
    <n v="0.42099999999999999"/>
    <s v="2.08e-06"/>
    <n v="0.10299999999999999"/>
    <n v="0.39600000000000002"/>
    <n v="159.98500000000001"/>
    <n v="4"/>
    <s v="acoustic"/>
  </r>
  <r>
    <s v="08feveJTNL1OMLSrdoHQ6Q"/>
    <x v="111"/>
    <s v="Teenage Dream"/>
    <s v="Teenage Dream"/>
    <x v="1"/>
    <n v="46"/>
    <n v="36.515500000000003"/>
    <n v="219093"/>
    <x v="0"/>
    <b v="0"/>
    <s v="Moderate"/>
    <n v="0.64200000000000002"/>
    <x v="0"/>
    <n v="0.40799999999999997"/>
    <n v="10"/>
    <n v="-8.1679999999999993"/>
    <n v="1"/>
    <n v="3.9600000000000003E-2"/>
    <n v="0.72899999999999998"/>
    <n v="0"/>
    <n v="0.185"/>
    <n v="0.41099999999999998"/>
    <n v="119.81"/>
    <n v="4"/>
    <s v="acoustic"/>
  </r>
  <r>
    <s v="4ngv7whSPSAwD8ZP3zMHsd"/>
    <x v="112"/>
    <s v="The Worth Of The Wait"/>
    <s v="The Worth Of The Wait"/>
    <x v="1"/>
    <n v="55"/>
    <n v="28.633333333333333"/>
    <n v="171800"/>
    <x v="0"/>
    <b v="0"/>
    <s v="Moderate"/>
    <n v="0.48"/>
    <x v="0"/>
    <n v="0.61799999999999999"/>
    <n v="2"/>
    <n v="-7.335"/>
    <n v="1"/>
    <n v="5.0099999999999999E-2"/>
    <n v="0.84399999999999997"/>
    <s v="8.93e-05"/>
    <n v="0.32500000000000001"/>
    <n v="0.34399999999999997"/>
    <n v="82.051000000000002"/>
    <n v="4"/>
    <s v="acoustic"/>
  </r>
  <r>
    <s v="24UxG3p1Ghtc5ejJtGBoeL"/>
    <x v="3"/>
    <s v="Can't Help Falling In Love (Piano Version)"/>
    <s v="Can't Help Falling In Love - Piano Version"/>
    <x v="1"/>
    <n v="54"/>
    <n v="35.270666666666664"/>
    <n v="211624"/>
    <x v="0"/>
    <b v="0"/>
    <s v="Low"/>
    <n v="0.27100000000000002"/>
    <x v="1"/>
    <n v="9.3700000000000006E-2"/>
    <n v="0"/>
    <n v="-15.035"/>
    <n v="1"/>
    <n v="3.6700000000000003E-2"/>
    <n v="0.93899999999999995"/>
    <n v="0"/>
    <n v="0.108"/>
    <n v="0.14699999999999999"/>
    <n v="164.721"/>
    <n v="5"/>
    <s v="acoustic"/>
  </r>
  <r>
    <s v="4yRlTvPVfEyhXfp6GZurq9"/>
    <x v="113"/>
    <s v="Austin Plaine"/>
    <s v="Never Come Back Again"/>
    <x v="1"/>
    <n v="57"/>
    <n v="32.706666666666663"/>
    <n v="196240"/>
    <x v="0"/>
    <b v="0"/>
    <s v="Moderate"/>
    <n v="0.59399999999999997"/>
    <x v="0"/>
    <n v="0.69499999999999995"/>
    <n v="8"/>
    <n v="-8.8719999999999999"/>
    <n v="1"/>
    <n v="2.5899999999999999E-2"/>
    <n v="0.19"/>
    <s v="3.58e-06"/>
    <n v="0.11899999999999999"/>
    <n v="0.17199999999999999"/>
    <n v="104.977"/>
    <n v="4"/>
    <s v="acoustic"/>
  </r>
  <r>
    <s v="5xQTEPjGsLuvwnnvyK3fAA"/>
    <x v="4"/>
    <s v="Love You To Death"/>
    <s v="Love You To Death"/>
    <x v="1"/>
    <n v="49"/>
    <n v="33.243166666666667"/>
    <n v="199459"/>
    <x v="0"/>
    <b v="0"/>
    <s v="Moderate"/>
    <n v="0.57399999999999995"/>
    <x v="1"/>
    <n v="0.34399999999999997"/>
    <n v="4"/>
    <n v="-8.9949999999999992"/>
    <n v="1"/>
    <n v="3.4500000000000003E-2"/>
    <n v="0.42099999999999999"/>
    <n v="0"/>
    <n v="8.0399999999999999E-2"/>
    <n v="9.8699999999999996E-2"/>
    <n v="147.92400000000001"/>
    <n v="3"/>
    <s v="acoustic"/>
  </r>
  <r>
    <s v="3Mq1SOKwAPYgE0ZtPzvWZZ"/>
    <x v="114"/>
    <s v="Someone You Loved (Acoustic)"/>
    <s v="Someone You Loved - Acoustic"/>
    <x v="1"/>
    <n v="55"/>
    <n v="28.208833333333335"/>
    <n v="169253"/>
    <x v="0"/>
    <b v="0"/>
    <s v="Moderate"/>
    <n v="0.64700000000000002"/>
    <x v="1"/>
    <n v="0.29799999999999999"/>
    <n v="3"/>
    <n v="-7.91"/>
    <n v="1"/>
    <n v="3.1099999999999999E-2"/>
    <n v="0.86099999999999999"/>
    <n v="0"/>
    <n v="0.12"/>
    <n v="0.31"/>
    <n v="106.244"/>
    <n v="4"/>
    <s v="acoustic"/>
  </r>
  <r>
    <s v="38ssTLOvoZyL4CLa4ImDG9"/>
    <x v="115"/>
    <s v="What a Wonderful World"/>
    <s v="What a Wonderful World"/>
    <x v="1"/>
    <n v="51"/>
    <n v="22.844333333333335"/>
    <n v="137066"/>
    <x v="0"/>
    <b v="0"/>
    <s v="Moderate"/>
    <n v="0.48599999999999999"/>
    <x v="1"/>
    <n v="3.9899999999999998E-2"/>
    <n v="0"/>
    <n v="-21.56"/>
    <n v="1"/>
    <n v="4.0500000000000001E-2"/>
    <n v="0.95299999999999996"/>
    <s v="8.74e-06"/>
    <n v="0.115"/>
    <n v="0.155"/>
    <n v="95.066000000000003"/>
    <n v="3"/>
    <s v="acoustic"/>
  </r>
  <r>
    <s v="0njuNwIyB3DoBHC0SFUkOr"/>
    <x v="15"/>
    <s v="You Broke Me First"/>
    <s v="You Broke Me First"/>
    <x v="3"/>
    <n v="39"/>
    <n v="21.466333333333335"/>
    <n v="128798"/>
    <x v="0"/>
    <b v="1"/>
    <s v="Very Danceable"/>
    <n v="0.73399999999999999"/>
    <x v="1"/>
    <n v="4.2299999999999997E-2"/>
    <n v="4"/>
    <n v="-24.831"/>
    <n v="1"/>
    <n v="5.8299999999999998E-2"/>
    <n v="0.91600000000000004"/>
    <n v="0"/>
    <n v="0.108"/>
    <n v="0.14000000000000001"/>
    <n v="123.905"/>
    <n v="4"/>
    <s v="acoustic"/>
  </r>
  <r>
    <s v="5sdliaZjk3rVGuT13UVhxn"/>
    <x v="55"/>
    <s v="Echos"/>
    <s v="Long Way Down"/>
    <x v="0"/>
    <n v="60"/>
    <n v="42.995333333333335"/>
    <n v="257972"/>
    <x v="0"/>
    <b v="0"/>
    <s v="Very Danceable"/>
    <n v="0.71099999999999997"/>
    <x v="1"/>
    <n v="0.23100000000000001"/>
    <n v="2"/>
    <n v="-13.032999999999999"/>
    <n v="1"/>
    <n v="3.4599999999999999E-2"/>
    <n v="0.83199999999999996"/>
    <n v="1.15E-3"/>
    <n v="0.105"/>
    <n v="0.186"/>
    <n v="125.062"/>
    <n v="4"/>
    <s v="acoustic"/>
  </r>
  <r>
    <s v="2Dz5WpEWA0vhnMmEPYiZ2y"/>
    <x v="61"/>
    <s v="Losing Sleep"/>
    <s v="She Is Love"/>
    <x v="0"/>
    <n v="60"/>
    <n v="24.344333333333335"/>
    <n v="146066"/>
    <x v="0"/>
    <b v="0"/>
    <s v="Moderate"/>
    <n v="0.629"/>
    <x v="1"/>
    <n v="0.17399999999999999"/>
    <n v="6"/>
    <n v="-9.6969999999999992"/>
    <n v="1"/>
    <n v="0.14099999999999999"/>
    <n v="0.61599999999999999"/>
    <n v="0"/>
    <n v="0.11799999999999999"/>
    <n v="0.30499999999999999"/>
    <n v="134.29499999999999"/>
    <n v="1"/>
    <s v="acoustic"/>
  </r>
  <r>
    <s v="5w8Cu20Yt1ZNQuVdcafTYC"/>
    <x v="116"/>
    <s v="The Meaning"/>
    <s v="Marigold"/>
    <x v="1"/>
    <n v="53"/>
    <n v="28.784666666666666"/>
    <n v="172708"/>
    <x v="0"/>
    <b v="0"/>
    <s v="Moderate"/>
    <n v="0.61499999999999999"/>
    <x v="0"/>
    <n v="0.40600000000000003"/>
    <n v="6"/>
    <n v="-12.619"/>
    <n v="1"/>
    <n v="3.5799999999999998E-2"/>
    <n v="0.54100000000000004"/>
    <s v="1.67e-05"/>
    <n v="9.8199999999999996E-2"/>
    <n v="0.54100000000000004"/>
    <n v="166.035"/>
    <n v="4"/>
    <s v="acoustic"/>
  </r>
  <r>
    <s v="1FHCU1rDAeaPsBW9byjJ0Q"/>
    <x v="117"/>
    <s v="Twelve: Fifty One (International Version)"/>
    <d v="1899-12-30T12:51:00"/>
    <x v="0"/>
    <n v="64"/>
    <n v="41.046666666666667"/>
    <n v="246280"/>
    <x v="0"/>
    <b v="0"/>
    <s v="Moderate"/>
    <n v="0.503"/>
    <x v="1"/>
    <n v="0.35699999999999998"/>
    <n v="3"/>
    <n v="-9.36"/>
    <n v="1"/>
    <n v="2.7199999999999998E-2"/>
    <n v="0.72699999999999998"/>
    <n v="0"/>
    <n v="0.128"/>
    <n v="0.438"/>
    <n v="136.13499999999999"/>
    <n v="4"/>
    <s v="acoustic"/>
  </r>
  <r>
    <s v="0x26yM2rrvtoHGRXXzppx3"/>
    <x v="118"/>
    <s v="ãƒªãƒ§ã‚¦ãƒ¡ãƒ³ã‚·ã‚¿ã‚™/ã‚µãƒ³ã‚µãƒ¼ãƒ©"/>
    <s v="ã‚µãƒ³ã‚µãƒ¼ãƒ©"/>
    <x v="3"/>
    <n v="34"/>
    <n v="55.330666666666666"/>
    <n v="331984"/>
    <x v="0"/>
    <b v="0"/>
    <s v="Moderate"/>
    <n v="0.45"/>
    <x v="1"/>
    <n v="0.183"/>
    <n v="2"/>
    <n v="-9.0030000000000001"/>
    <n v="1"/>
    <n v="3.09E-2"/>
    <n v="0.76200000000000001"/>
    <s v="3.41e-06"/>
    <n v="0.11"/>
    <n v="0.219"/>
    <n v="61.192"/>
    <n v="4"/>
    <s v="acoustic"/>
  </r>
  <r>
    <s v="0Kt5AHOpQAkEsHAuPeB0le"/>
    <x v="119"/>
    <s v="1000 Years"/>
    <s v="Sons and Daughters"/>
    <x v="1"/>
    <n v="50"/>
    <n v="36.00866666666667"/>
    <n v="216052"/>
    <x v="0"/>
    <b v="0"/>
    <s v="Moderate"/>
    <n v="0.52500000000000002"/>
    <x v="0"/>
    <n v="0.46100000000000002"/>
    <n v="5"/>
    <n v="-9.4890000000000008"/>
    <n v="0"/>
    <n v="8.7800000000000003E-2"/>
    <n v="0.77500000000000002"/>
    <s v="2.14e-06"/>
    <n v="0.36199999999999999"/>
    <n v="0.20200000000000001"/>
    <n v="147.99700000000001"/>
    <n v="4"/>
    <s v="acoustic"/>
  </r>
  <r>
    <s v="07m8PuXxxv5J4qPEDq6ZkK"/>
    <x v="58"/>
    <s v="Brand New"/>
    <s v="Brand New"/>
    <x v="0"/>
    <n v="65"/>
    <n v="40.655500000000004"/>
    <n v="243933"/>
    <x v="0"/>
    <b v="0"/>
    <s v="Moderate"/>
    <n v="0.55500000000000005"/>
    <x v="2"/>
    <n v="0.93400000000000005"/>
    <n v="9"/>
    <n v="-5.04"/>
    <n v="1"/>
    <n v="0.113"/>
    <n v="2.6800000000000001E-3"/>
    <n v="0"/>
    <n v="0.122"/>
    <n v="0.42199999999999999"/>
    <n v="144.874"/>
    <n v="4"/>
    <s v="acoustic"/>
  </r>
  <r>
    <s v="1YjMWOorkBaP4MdKkKtp4y"/>
    <x v="82"/>
    <s v="Say I Am You"/>
    <s v="Gotta Have You"/>
    <x v="1"/>
    <n v="56"/>
    <n v="33.297666666666665"/>
    <n v="199786"/>
    <x v="0"/>
    <b v="0"/>
    <s v="Moderate"/>
    <n v="0.67800000000000005"/>
    <x v="1"/>
    <n v="0.36299999999999999"/>
    <n v="11"/>
    <n v="-10.9"/>
    <n v="1"/>
    <n v="3.1800000000000002E-2"/>
    <n v="0.872"/>
    <n v="1.01E-4"/>
    <n v="7.9799999999999996E-2"/>
    <n v="0.54300000000000004"/>
    <n v="75.004000000000005"/>
    <n v="5"/>
    <s v="acoustic"/>
  </r>
  <r>
    <s v="0KF5nzdiqZlxVK68MPITst"/>
    <x v="58"/>
    <s v="Brand New"/>
    <s v="30,000 Feet"/>
    <x v="1"/>
    <n v="57"/>
    <n v="42.822166666666668"/>
    <n v="256933"/>
    <x v="0"/>
    <b v="0"/>
    <s v="Moderate"/>
    <n v="0.55500000000000005"/>
    <x v="0"/>
    <n v="0.45200000000000001"/>
    <n v="0"/>
    <n v="-9.6359999999999992"/>
    <n v="1"/>
    <n v="5.5399999999999998E-2"/>
    <n v="0.69399999999999995"/>
    <n v="0"/>
    <n v="5.9499999999999997E-2"/>
    <n v="0.32100000000000001"/>
    <n v="179.92099999999999"/>
    <n v="4"/>
    <s v="acoustic"/>
  </r>
  <r>
    <s v="1pV4cJaYl9ovK0GcSjH1hy"/>
    <x v="120"/>
    <s v="Guitar Instrumental Covers"/>
    <s v="A Thousand Years"/>
    <x v="1"/>
    <n v="43"/>
    <n v="46.652666666666669"/>
    <n v="279916"/>
    <x v="0"/>
    <b v="0"/>
    <s v="Moderate"/>
    <n v="0.58599999999999997"/>
    <x v="1"/>
    <n v="0.39600000000000002"/>
    <n v="10"/>
    <n v="-9.9529999999999994"/>
    <n v="1"/>
    <n v="3.1899999999999998E-2"/>
    <n v="0.89600000000000002"/>
    <n v="0.54300000000000004"/>
    <n v="9.9199999999999997E-2"/>
    <n v="0.16"/>
    <n v="142.59100000000001"/>
    <n v="3"/>
    <s v="acoustic"/>
  </r>
  <r>
    <s v="2fSIF8CJhoc9CJhF9vJDXp"/>
    <x v="95"/>
    <s v="Trouble"/>
    <s v="Jolene"/>
    <x v="0"/>
    <n v="64"/>
    <n v="41.811"/>
    <n v="250866"/>
    <x v="0"/>
    <b v="0"/>
    <s v="Moderate"/>
    <n v="0.58799999999999997"/>
    <x v="1"/>
    <n v="0.14199999999999999"/>
    <n v="7"/>
    <n v="-15.196"/>
    <n v="1"/>
    <n v="3.2899999999999999E-2"/>
    <n v="0.86299999999999999"/>
    <n v="1.6200000000000001E-4"/>
    <n v="9.5299999999999996E-2"/>
    <n v="0.28799999999999998"/>
    <n v="119.65600000000001"/>
    <n v="4"/>
    <s v="acoustic"/>
  </r>
  <r>
    <s v="6J0bdIZElZMymahgVWRE9B"/>
    <x v="21"/>
    <s v="Into The Wild (Music For The Motion Picture)"/>
    <s v="No Ceiling"/>
    <x v="1"/>
    <n v="58"/>
    <n v="15.6755"/>
    <n v="94053"/>
    <x v="0"/>
    <b v="0"/>
    <s v="Very Danceable"/>
    <n v="0.72399999999999998"/>
    <x v="0"/>
    <n v="0.65200000000000002"/>
    <n v="3"/>
    <n v="-6.8689999999999998"/>
    <n v="1"/>
    <n v="2.47E-2"/>
    <n v="0.46"/>
    <n v="1.4200000000000001E-4"/>
    <n v="0.10100000000000001"/>
    <n v="0.75"/>
    <n v="106.911"/>
    <n v="4"/>
    <s v="acoustic"/>
  </r>
  <r>
    <s v="5sVyefkGgQeYCgnqr4KslQ"/>
    <x v="121"/>
    <s v="Front Porch"/>
    <s v="Front Porch"/>
    <x v="0"/>
    <n v="64"/>
    <n v="38.6355"/>
    <n v="231813"/>
    <x v="0"/>
    <b v="0"/>
    <s v="Moderate"/>
    <n v="0.56699999999999995"/>
    <x v="1"/>
    <n v="0.224"/>
    <n v="1"/>
    <n v="-10.023999999999999"/>
    <n v="1"/>
    <n v="2.9899999999999999E-2"/>
    <n v="0.88700000000000001"/>
    <n v="0"/>
    <n v="0.109"/>
    <n v="0.2"/>
    <n v="124.44"/>
    <n v="4"/>
    <s v="acoustic"/>
  </r>
  <r>
    <s v="1MGIxsVtqK2npdPmI8Dj0D"/>
    <x v="100"/>
    <s v="Rogue Taxidermy"/>
    <s v="Goodbye Lulu"/>
    <x v="3"/>
    <n v="35"/>
    <n v="25.007833333333334"/>
    <n v="150047"/>
    <x v="0"/>
    <b v="1"/>
    <s v="Moderate"/>
    <n v="0.54400000000000004"/>
    <x v="2"/>
    <n v="0.83899999999999997"/>
    <n v="5"/>
    <n v="-8.9909999999999997"/>
    <n v="1"/>
    <n v="5.6800000000000003E-2"/>
    <n v="0.78400000000000003"/>
    <n v="0"/>
    <n v="0.34100000000000003"/>
    <n v="0.96699999999999997"/>
    <n v="87.608999999999995"/>
    <n v="4"/>
    <s v="acoustic"/>
  </r>
  <r>
    <s v="4M4suTUnAYZocl09XEKBZN"/>
    <x v="95"/>
    <s v="Cruising"/>
    <s v="Three More Days"/>
    <x v="3"/>
    <n v="36"/>
    <n v="36.128833333333333"/>
    <n v="216773"/>
    <x v="0"/>
    <b v="0"/>
    <s v="Moderate"/>
    <n v="0.55500000000000005"/>
    <x v="0"/>
    <n v="0.68"/>
    <n v="10"/>
    <n v="-8.3580000000000005"/>
    <n v="0"/>
    <n v="3.2300000000000002E-2"/>
    <n v="0.126"/>
    <n v="9.0600000000000001E-4"/>
    <n v="5.0599999999999999E-2"/>
    <n v="0.90300000000000002"/>
    <n v="84.518000000000001"/>
    <n v="4"/>
    <s v="acoustic"/>
  </r>
  <r>
    <s v="2C9ePPz58he8jmYEod9pvT"/>
    <x v="43"/>
    <s v="Isn't She Lovely (Acoustic)"/>
    <s v="Isn't She Lovely - Acoustic"/>
    <x v="1"/>
    <n v="54"/>
    <n v="24.295166666666667"/>
    <n v="145771"/>
    <x v="0"/>
    <b v="0"/>
    <s v="Moderate"/>
    <n v="0.69"/>
    <x v="1"/>
    <n v="0.30599999999999999"/>
    <n v="9"/>
    <n v="-9.1929999999999996"/>
    <n v="1"/>
    <n v="3.56E-2"/>
    <n v="0.80500000000000005"/>
    <n v="0"/>
    <n v="9.6799999999999997E-2"/>
    <n v="0.42399999999999999"/>
    <n v="115.67100000000001"/>
    <n v="4"/>
    <s v="acoustic"/>
  </r>
  <r>
    <s v="4j0xGuo8Z47wfBiVunT6VR"/>
    <x v="60"/>
    <s v="One Spring Night (Original Television Soundtrack), Pt. 4"/>
    <s v="We Could Still Be Happy"/>
    <x v="1"/>
    <n v="43"/>
    <n v="46.543333333333337"/>
    <n v="279260"/>
    <x v="0"/>
    <b v="0"/>
    <s v="Moderate"/>
    <n v="0.51300000000000001"/>
    <x v="1"/>
    <n v="0.317"/>
    <n v="10"/>
    <n v="-17.036000000000001"/>
    <n v="1"/>
    <n v="3.6299999999999999E-2"/>
    <n v="0.36499999999999999"/>
    <n v="3.0000000000000001E-3"/>
    <n v="0.11799999999999999"/>
    <n v="0.17699999999999999"/>
    <n v="84.852999999999994"/>
    <n v="4"/>
    <s v="acoustic"/>
  </r>
  <r>
    <s v="0JzOJIS7ktLq5Ux6LtYJuW"/>
    <x v="48"/>
    <s v="Fix You (Acoustic)"/>
    <s v="Fix You - Acoustic"/>
    <x v="1"/>
    <n v="49"/>
    <n v="27.160499999999999"/>
    <n v="162963"/>
    <x v="0"/>
    <b v="0"/>
    <s v="Moderate"/>
    <n v="0.49399999999999999"/>
    <x v="1"/>
    <n v="0.152"/>
    <n v="3"/>
    <n v="-9.843"/>
    <n v="1"/>
    <n v="3.1300000000000001E-2"/>
    <n v="0.94699999999999995"/>
    <n v="0"/>
    <n v="0.123"/>
    <n v="0.30399999999999999"/>
    <n v="134.178"/>
    <n v="4"/>
    <s v="acoustic"/>
  </r>
  <r>
    <s v="298xJ2nBaWWS0Je5rtlSxT"/>
    <x v="122"/>
    <s v="I'm Yours (Acoustic)"/>
    <s v="I'm Yours - Acoustic"/>
    <x v="1"/>
    <n v="55"/>
    <n v="27.698166666666665"/>
    <n v="166189"/>
    <x v="0"/>
    <b v="0"/>
    <s v="Moderate"/>
    <n v="0.63400000000000001"/>
    <x v="1"/>
    <n v="0.26700000000000002"/>
    <n v="11"/>
    <n v="-7.3959999999999999"/>
    <n v="1"/>
    <n v="4.3999999999999997E-2"/>
    <n v="0.84099999999999997"/>
    <n v="0"/>
    <n v="0.11"/>
    <n v="0.39100000000000001"/>
    <n v="143.51400000000001"/>
    <n v="4"/>
    <s v="acoustic"/>
  </r>
  <r>
    <s v="33SH8ZC36EzoRstHbaFE72"/>
    <x v="123"/>
    <s v="Cover Sessions, Vol. 4"/>
    <s v="Closer"/>
    <x v="1"/>
    <n v="54"/>
    <n v="40.698"/>
    <n v="244188"/>
    <x v="0"/>
    <b v="0"/>
    <s v="Moderate"/>
    <n v="0.69399999999999995"/>
    <x v="0"/>
    <n v="0.47099999999999997"/>
    <n v="8"/>
    <n v="-8.6199999999999992"/>
    <n v="1"/>
    <n v="2.81E-2"/>
    <n v="0.41099999999999998"/>
    <n v="0"/>
    <n v="0.23300000000000001"/>
    <n v="0.46600000000000003"/>
    <n v="95.003"/>
    <n v="4"/>
    <s v="acoustic"/>
  </r>
  <r>
    <s v="18PrtmAcNMgZNy1edWuXGb"/>
    <x v="124"/>
    <s v="A Sky Full of Stars"/>
    <s v="A Sky Full of Stars"/>
    <x v="1"/>
    <n v="55"/>
    <n v="27.511166666666668"/>
    <n v="165067"/>
    <x v="0"/>
    <b v="0"/>
    <s v="Moderate"/>
    <n v="0.64300000000000002"/>
    <x v="1"/>
    <n v="0.11"/>
    <n v="6"/>
    <n v="-14.28"/>
    <n v="1"/>
    <n v="2.9399999999999999E-2"/>
    <n v="0.876"/>
    <s v="1.38e-05"/>
    <n v="0.112"/>
    <n v="0.152"/>
    <n v="101.995"/>
    <n v="4"/>
    <s v="acoustic"/>
  </r>
  <r>
    <s v="4CU3t2c3TIpmzX44P1VCFi"/>
    <x v="28"/>
    <s v="I Don't Believe in Satan"/>
    <s v="I Don't Believe in Satan"/>
    <x v="3"/>
    <n v="39"/>
    <n v="34.761833333333335"/>
    <n v="208571"/>
    <x v="0"/>
    <b v="0"/>
    <s v="Moderate"/>
    <n v="0.42199999999999999"/>
    <x v="0"/>
    <n v="0.41"/>
    <n v="6"/>
    <n v="-14.151"/>
    <n v="0"/>
    <n v="4.6699999999999998E-2"/>
    <n v="8.5500000000000003E-3"/>
    <n v="0"/>
    <n v="0.104"/>
    <n v="0.35399999999999998"/>
    <n v="83.951999999999998"/>
    <n v="4"/>
    <s v="acoustic"/>
  </r>
  <r>
    <s v="0dnRlO7IDzbN9ixVld7hz6"/>
    <x v="125"/>
    <s v="Let There Be Morning (Bonus Track Version)"/>
    <s v="Pills"/>
    <x v="1"/>
    <n v="51"/>
    <n v="31.54"/>
    <n v="189240"/>
    <x v="0"/>
    <b v="0"/>
    <s v="Moderate"/>
    <n v="0.54300000000000004"/>
    <x v="1"/>
    <n v="0.28799999999999998"/>
    <n v="0"/>
    <n v="-8.6080000000000005"/>
    <n v="0"/>
    <n v="2.58E-2"/>
    <n v="0.66700000000000004"/>
    <n v="0"/>
    <n v="0.113"/>
    <n v="0.29299999999999998"/>
    <n v="95.435000000000002"/>
    <n v="4"/>
    <s v="acoustic"/>
  </r>
  <r>
    <s v="1XW1lKfocLOAUdp8rUQoNC"/>
    <x v="126"/>
    <s v="he said. she said."/>
    <s v="Shallow - Acoustic"/>
    <x v="1"/>
    <n v="52"/>
    <n v="30.4255"/>
    <n v="182553"/>
    <x v="0"/>
    <b v="0"/>
    <s v="Low"/>
    <n v="0.33200000000000002"/>
    <x v="1"/>
    <n v="0.28199999999999997"/>
    <n v="7"/>
    <n v="-7.2569999999999997"/>
    <n v="1"/>
    <n v="4.3999999999999997E-2"/>
    <n v="0.82499999999999996"/>
    <n v="0"/>
    <n v="0.104"/>
    <n v="0.23400000000000001"/>
    <n v="187.05699999999999"/>
    <n v="4"/>
    <s v="acoustic"/>
  </r>
  <r>
    <s v="1TZBg0IBHvqfSAlHvVd8eH"/>
    <x v="90"/>
    <s v="Watermelon Sugar (Acoustic)"/>
    <s v="Watermelon Sugar - Acoustic"/>
    <x v="1"/>
    <n v="56"/>
    <n v="30.515499999999999"/>
    <n v="183093"/>
    <x v="0"/>
    <b v="0"/>
    <s v="Moderate"/>
    <n v="0.43"/>
    <x v="1"/>
    <n v="0.121"/>
    <n v="10"/>
    <n v="-15.148"/>
    <n v="1"/>
    <n v="4.0399999999999998E-2"/>
    <n v="0.90800000000000003"/>
    <n v="0"/>
    <n v="0.161"/>
    <n v="0.46100000000000002"/>
    <n v="91.210999999999999"/>
    <n v="4"/>
    <s v="acoustic"/>
  </r>
  <r>
    <s v="5j5OayPyUCnJSK0RynvqgK"/>
    <x v="127"/>
    <s v="Say You Won't Let Go (Acoustic)"/>
    <s v="Say You Won't Let Go - Acoustic"/>
    <x v="1"/>
    <n v="48"/>
    <n v="40.620666666666665"/>
    <n v="243724"/>
    <x v="0"/>
    <b v="0"/>
    <s v="Moderate"/>
    <n v="0.432"/>
    <x v="1"/>
    <n v="0.19700000000000001"/>
    <n v="3"/>
    <n v="-9.2509999999999994"/>
    <n v="1"/>
    <n v="4.1399999999999999E-2"/>
    <n v="0.87"/>
    <n v="0"/>
    <n v="0.11"/>
    <n v="0.34799999999999998"/>
    <n v="163.98500000000001"/>
    <n v="4"/>
    <s v="acoustic"/>
  </r>
  <r>
    <s v="4WtqjjSiGYHORMr6VX3td1"/>
    <x v="49"/>
    <s v="Hikare Inochi"/>
    <s v="Hikare Inochi"/>
    <x v="1"/>
    <n v="41"/>
    <n v="53.691000000000003"/>
    <n v="322146"/>
    <x v="0"/>
    <b v="0"/>
    <s v="Moderate"/>
    <n v="0.59199999999999997"/>
    <x v="2"/>
    <n v="0.76900000000000002"/>
    <n v="2"/>
    <n v="-5.2679999999999998"/>
    <n v="1"/>
    <n v="3.1099999999999999E-2"/>
    <n v="0.31900000000000001"/>
    <s v="4.66e-06"/>
    <n v="0.13700000000000001"/>
    <n v="0.38500000000000001"/>
    <n v="102.033"/>
    <n v="4"/>
    <s v="acoustic"/>
  </r>
  <r>
    <s v="0Pi3Ua6fJV1Yx5MGXhfybT"/>
    <x v="1"/>
    <s v="Call You Mine (Acoustic Piano)"/>
    <s v="Call You Mine (Acoustic Piano)"/>
    <x v="1"/>
    <n v="40"/>
    <n v="34.925666666666665"/>
    <n v="209554"/>
    <x v="0"/>
    <b v="0"/>
    <s v="Very Danceable"/>
    <n v="0.73299999999999998"/>
    <x v="1"/>
    <n v="0.29699999999999999"/>
    <n v="5"/>
    <n v="-14.452"/>
    <n v="1"/>
    <n v="3.5900000000000001E-2"/>
    <n v="0.93500000000000005"/>
    <s v="2.75e-06"/>
    <n v="0.108"/>
    <n v="0.76600000000000001"/>
    <n v="103.953"/>
    <n v="4"/>
    <s v="acoustic"/>
  </r>
  <r>
    <s v="0c99BUd87HQfzgUUQqRyds"/>
    <x v="3"/>
    <s v="In the Waiting"/>
    <s v="For Now"/>
    <x v="1"/>
    <n v="57"/>
    <n v="33.067166666666665"/>
    <n v="198403"/>
    <x v="0"/>
    <b v="0"/>
    <s v="Low"/>
    <n v="0.39400000000000002"/>
    <x v="1"/>
    <n v="0.249"/>
    <n v="5"/>
    <n v="-10.484"/>
    <n v="1"/>
    <n v="3.9600000000000003E-2"/>
    <n v="0.92700000000000005"/>
    <n v="0"/>
    <n v="0.115"/>
    <n v="0.32900000000000001"/>
    <n v="79.549000000000007"/>
    <n v="4"/>
    <s v="acoustic"/>
  </r>
  <r>
    <s v="7JRJOLKHz88pR0YS4pVCao"/>
    <x v="128"/>
    <s v="Three Flights From Alto Nido"/>
    <s v="Sweet Dream"/>
    <x v="1"/>
    <n v="53"/>
    <n v="11.291"/>
    <n v="67746"/>
    <x v="0"/>
    <b v="0"/>
    <s v="Moderate"/>
    <n v="0.41"/>
    <x v="1"/>
    <n v="0.23400000000000001"/>
    <n v="1"/>
    <n v="-15.236000000000001"/>
    <n v="1"/>
    <n v="4.2099999999999999E-2"/>
    <n v="0.79800000000000004"/>
    <n v="3.0400000000000002E-3"/>
    <n v="0.108"/>
    <n v="0.19"/>
    <n v="93.72"/>
    <n v="4"/>
    <s v="acoustic"/>
  </r>
  <r>
    <s v="0xlyMQ56pZAoGuLCs7GH90"/>
    <x v="129"/>
    <s v="Love Nwantiti"/>
    <s v="Love Nwantiti"/>
    <x v="3"/>
    <n v="30"/>
    <n v="21.505333333333333"/>
    <n v="129032"/>
    <x v="0"/>
    <b v="0"/>
    <s v="Moderate"/>
    <n v="0.48"/>
    <x v="1"/>
    <n v="0.158"/>
    <n v="8"/>
    <n v="-15.239000000000001"/>
    <n v="1"/>
    <n v="8.0699999999999994E-2"/>
    <n v="0.80900000000000005"/>
    <n v="0.88600000000000001"/>
    <n v="0.11700000000000001"/>
    <n v="0.498"/>
    <n v="86.106999999999999"/>
    <n v="4"/>
    <s v="acoustic"/>
  </r>
  <r>
    <s v="5dH4xnErpUOIDrGySWGkfJ"/>
    <x v="9"/>
    <s v="Stars Are on Your Side"/>
    <s v="Stars Are on Your Side"/>
    <x v="1"/>
    <n v="49"/>
    <n v="36.334000000000003"/>
    <n v="218004"/>
    <x v="0"/>
    <b v="0"/>
    <s v="Low"/>
    <n v="0.255"/>
    <x v="0"/>
    <n v="0.625"/>
    <n v="0"/>
    <n v="-8.31"/>
    <n v="1"/>
    <n v="3.2300000000000002E-2"/>
    <n v="0.63"/>
    <n v="2.1100000000000001E-4"/>
    <n v="9.7600000000000006E-2"/>
    <n v="0.191"/>
    <n v="84.611000000000004"/>
    <n v="4"/>
    <s v="acoustic"/>
  </r>
  <r>
    <s v="2Sg5gtKvSiRf7TBjI0ObF2"/>
    <x v="130"/>
    <s v="Covers"/>
    <s v="We Don't Talk Anymore / Cold (feat. Sara Phillips)"/>
    <x v="3"/>
    <n v="26"/>
    <n v="37.151833333333336"/>
    <n v="222911"/>
    <x v="0"/>
    <b v="0"/>
    <s v="Moderate"/>
    <n v="0.52400000000000002"/>
    <x v="1"/>
    <n v="0.32800000000000001"/>
    <n v="11"/>
    <n v="-10.000999999999999"/>
    <n v="1"/>
    <n v="4.0300000000000002E-2"/>
    <n v="0.81699999999999995"/>
    <n v="0"/>
    <n v="0.11799999999999999"/>
    <n v="0.59899999999999998"/>
    <n v="99.941000000000003"/>
    <n v="4"/>
    <s v="acoustic"/>
  </r>
  <r>
    <s v="2AHZHeLTPuGILKyr4l8uTU"/>
    <x v="131"/>
    <s v="Constellation Me"/>
    <s v="Superman"/>
    <x v="1"/>
    <n v="53"/>
    <n v="34.448833333333333"/>
    <n v="206693"/>
    <x v="0"/>
    <b v="0"/>
    <s v="Moderate"/>
    <n v="0.46400000000000002"/>
    <x v="0"/>
    <n v="0.65300000000000002"/>
    <n v="6"/>
    <n v="-7.5140000000000002"/>
    <n v="1"/>
    <n v="0.10100000000000001"/>
    <n v="0.19900000000000001"/>
    <n v="0"/>
    <n v="9.7900000000000001E-2"/>
    <n v="0.41599999999999998"/>
    <n v="162.196"/>
    <n v="4"/>
    <s v="acoustic"/>
  </r>
  <r>
    <s v="3JKLrIrHpbHtDU1oeYtbYD"/>
    <x v="45"/>
    <s v="Cover Sessions, Vol. 5"/>
    <s v="Chasing Cars"/>
    <x v="1"/>
    <n v="52"/>
    <n v="41.163166666666669"/>
    <n v="246979"/>
    <x v="0"/>
    <b v="0"/>
    <s v="Moderate"/>
    <n v="0.65900000000000003"/>
    <x v="1"/>
    <n v="0.33100000000000002"/>
    <n v="10"/>
    <n v="-8.9870000000000001"/>
    <n v="1"/>
    <n v="3.2099999999999997E-2"/>
    <n v="0.80900000000000005"/>
    <n v="0"/>
    <n v="9.9599999999999994E-2"/>
    <n v="8.77E-2"/>
    <n v="105.01"/>
    <n v="4"/>
    <s v="acoustic"/>
  </r>
  <r>
    <s v="2CsHDQ1WFLQBBpIEuLcL3z"/>
    <x v="10"/>
    <s v="Episode"/>
    <s v="Calm Me Down"/>
    <x v="1"/>
    <n v="51"/>
    <n v="47.158333333333331"/>
    <n v="282950"/>
    <x v="0"/>
    <b v="0"/>
    <s v="Moderate"/>
    <n v="0.59199999999999997"/>
    <x v="0"/>
    <n v="0.49"/>
    <n v="10"/>
    <n v="-8.5079999999999991"/>
    <n v="1"/>
    <n v="2.63E-2"/>
    <n v="0.39500000000000002"/>
    <n v="0"/>
    <n v="0.33300000000000002"/>
    <n v="0.437"/>
    <n v="99.994"/>
    <n v="4"/>
    <s v="acoustic"/>
  </r>
  <r>
    <s v="24Gm1mIhO28NmgT17S95JE"/>
    <x v="132"/>
    <s v="KISSã—ã¦"/>
    <s v="KISSã—ã¦"/>
    <x v="3"/>
    <n v="35"/>
    <n v="37.104333333333336"/>
    <n v="222626"/>
    <x v="0"/>
    <b v="0"/>
    <s v="Moderate"/>
    <n v="0.46700000000000003"/>
    <x v="2"/>
    <n v="0.85099999999999998"/>
    <n v="6"/>
    <n v="-4.2030000000000003"/>
    <n v="1"/>
    <n v="5.2600000000000001E-2"/>
    <n v="3.5300000000000002E-4"/>
    <n v="0"/>
    <n v="0.33"/>
    <n v="0.64400000000000002"/>
    <n v="93.873000000000005"/>
    <n v="4"/>
    <s v="acoustic"/>
  </r>
  <r>
    <s v="6j9kSGlYLZdZ9sZkY9DjzY"/>
    <x v="133"/>
    <s v="Binibini (Last Day On Earth)"/>
    <s v="Binibini (Last Day On Earth) (feat. James TW)"/>
    <x v="1"/>
    <n v="54"/>
    <n v="36.615333333333332"/>
    <n v="219692"/>
    <x v="0"/>
    <b v="0"/>
    <s v="Moderate"/>
    <n v="0.56399999999999995"/>
    <x v="1"/>
    <n v="0.39100000000000001"/>
    <n v="5"/>
    <n v="-7.6550000000000002"/>
    <n v="1"/>
    <n v="3.1099999999999999E-2"/>
    <n v="0.47799999999999998"/>
    <n v="0"/>
    <n v="0.127"/>
    <n v="0.10100000000000001"/>
    <n v="130.03"/>
    <n v="4"/>
    <s v="acoustic"/>
  </r>
  <r>
    <s v="2UJy2HHo4afrQbI5FizxLM"/>
    <x v="134"/>
    <s v="Kosher"/>
    <s v="Left for America"/>
    <x v="1"/>
    <n v="50"/>
    <n v="28.464333333333332"/>
    <n v="170786"/>
    <x v="0"/>
    <b v="0"/>
    <s v="Moderate"/>
    <n v="0.498"/>
    <x v="1"/>
    <n v="0.38400000000000001"/>
    <n v="4"/>
    <n v="-10.752000000000001"/>
    <n v="1"/>
    <n v="9.7600000000000006E-2"/>
    <n v="0.81799999999999995"/>
    <n v="9.3700000000000001E-4"/>
    <n v="0.13"/>
    <n v="0.25"/>
    <n v="79.855999999999995"/>
    <n v="4"/>
    <s v="acoustic"/>
  </r>
  <r>
    <s v="7HSk4yGZxfjOkHyOvZrBQZ"/>
    <x v="135"/>
    <s v="To Record Only Water For Ten Days (U.S. Version)"/>
    <s v="Ramparts"/>
    <x v="1"/>
    <n v="53"/>
    <n v="11.688833333333333"/>
    <n v="70133"/>
    <x v="0"/>
    <b v="0"/>
    <s v="Low"/>
    <n v="0.38600000000000001"/>
    <x v="0"/>
    <n v="0.42799999999999999"/>
    <n v="10"/>
    <n v="-9.9489999999999998"/>
    <n v="0"/>
    <n v="2.9499999999999998E-2"/>
    <n v="0.95099999999999996"/>
    <n v="0.88200000000000001"/>
    <n v="0.16200000000000001"/>
    <n v="0.73"/>
    <n v="172.31100000000001"/>
    <n v="4"/>
    <s v="acoustic"/>
  </r>
  <r>
    <s v="2Jhx81CSHw8xWwBqRM2mZR"/>
    <x v="4"/>
    <s v="Hold On (Acoustic)"/>
    <s v="Hold On - Acoustic"/>
    <x v="1"/>
    <n v="48"/>
    <n v="33.390999999999998"/>
    <n v="200346"/>
    <x v="0"/>
    <b v="0"/>
    <s v="Very Danceable"/>
    <n v="0.70199999999999996"/>
    <x v="1"/>
    <n v="0.25900000000000001"/>
    <n v="2"/>
    <n v="-9.73"/>
    <n v="1"/>
    <n v="4.0300000000000002E-2"/>
    <n v="0.878"/>
    <s v="5.34e-06"/>
    <n v="0.108"/>
    <n v="0.246"/>
    <n v="120.102"/>
    <n v="4"/>
    <s v="acoustic"/>
  </r>
  <r>
    <s v="5P6ZBMWS66FVo6deJaDdHy"/>
    <x v="42"/>
    <s v="The Civil Wars"/>
    <s v="Dust to Dust"/>
    <x v="1"/>
    <n v="49"/>
    <n v="38.275500000000001"/>
    <n v="229653"/>
    <x v="0"/>
    <b v="0"/>
    <s v="Very Danceable"/>
    <n v="0.747"/>
    <x v="1"/>
    <n v="0.26500000000000001"/>
    <n v="1"/>
    <n v="-14.141"/>
    <n v="1"/>
    <n v="3.5400000000000001E-2"/>
    <n v="0.745"/>
    <n v="1.6899999999999998E-2"/>
    <n v="0.11"/>
    <n v="0.2"/>
    <n v="138.017"/>
    <n v="4"/>
    <s v="acoustic"/>
  </r>
  <r>
    <s v="5SgFX13gtlQfsNUpoPshwD"/>
    <x v="132"/>
    <s v="Good night"/>
    <s v="Good night"/>
    <x v="3"/>
    <n v="35"/>
    <n v="59.035499999999999"/>
    <n v="354213"/>
    <x v="0"/>
    <b v="0"/>
    <s v="Moderate"/>
    <n v="0.52200000000000002"/>
    <x v="0"/>
    <n v="0.498"/>
    <n v="7"/>
    <n v="-7.2469999999999999"/>
    <n v="1"/>
    <n v="2.5700000000000001E-2"/>
    <n v="7.5800000000000006E-2"/>
    <s v="1.51e-06"/>
    <n v="0.25"/>
    <n v="0.221"/>
    <n v="145.90799999999999"/>
    <n v="4"/>
    <s v="acoustic"/>
  </r>
  <r>
    <s v="7vu53hQrIoH7UGeh6qcct1"/>
    <x v="10"/>
    <s v="As You Are"/>
    <s v="As You Are"/>
    <x v="0"/>
    <n v="60"/>
    <n v="30.6615"/>
    <n v="183969"/>
    <x v="0"/>
    <b v="0"/>
    <s v="Very Danceable"/>
    <n v="0.71499999999999997"/>
    <x v="0"/>
    <n v="0.438"/>
    <n v="10"/>
    <n v="-6.1470000000000002"/>
    <n v="0"/>
    <n v="3.73E-2"/>
    <n v="0.35299999999999998"/>
    <s v="1.75e-06"/>
    <n v="0.108"/>
    <n v="0.44700000000000001"/>
    <n v="81.069999999999993"/>
    <n v="4"/>
    <s v="acoustic"/>
  </r>
  <r>
    <s v="55RMhrPQYA6vLu5YMgXxFD"/>
    <x v="10"/>
    <s v="Episode"/>
    <s v="Binibini"/>
    <x v="0"/>
    <n v="65"/>
    <n v="36.923000000000002"/>
    <n v="221538"/>
    <x v="0"/>
    <b v="0"/>
    <s v="Moderate"/>
    <n v="0.64200000000000002"/>
    <x v="1"/>
    <n v="0.374"/>
    <n v="5"/>
    <n v="-10.606"/>
    <n v="1"/>
    <n v="3.2000000000000001E-2"/>
    <n v="0.42299999999999999"/>
    <s v="1.54e-06"/>
    <n v="0.435"/>
    <n v="9.7900000000000001E-2"/>
    <n v="129.863"/>
    <n v="4"/>
    <s v="acoustic"/>
  </r>
  <r>
    <s v="2KsdoMZsL2ajnjjYUWm1ZT"/>
    <x v="136"/>
    <s v="#Covers"/>
    <s v="It Aint Me"/>
    <x v="1"/>
    <n v="52"/>
    <n v="32.090833333333336"/>
    <n v="192545"/>
    <x v="0"/>
    <b v="0"/>
    <s v="Low"/>
    <n v="0.35399999999999998"/>
    <x v="0"/>
    <n v="0.41499999999999998"/>
    <n v="9"/>
    <n v="-6.5780000000000003"/>
    <n v="1"/>
    <n v="2.8899999999999999E-2"/>
    <n v="0.79700000000000004"/>
    <n v="0"/>
    <n v="0.107"/>
    <n v="0.42099999999999999"/>
    <n v="175.53700000000001"/>
    <n v="4"/>
    <s v="acoustic"/>
  </r>
  <r>
    <s v="2fPb58e6f8KxejYDCaARwS"/>
    <x v="38"/>
    <s v="Is There Anybody Out There?"/>
    <s v="Say Something"/>
    <x v="1"/>
    <n v="57"/>
    <n v="38.87766666666667"/>
    <n v="233266"/>
    <x v="0"/>
    <b v="0"/>
    <s v="Moderate"/>
    <n v="0.44700000000000001"/>
    <x v="1"/>
    <n v="0.158"/>
    <n v="2"/>
    <n v="-7.5709999999999997"/>
    <n v="1"/>
    <n v="3.5999999999999997E-2"/>
    <n v="0.872"/>
    <s v="1.58e-06"/>
    <n v="8.1600000000000006E-2"/>
    <n v="0.14199999999999999"/>
    <n v="140.94200000000001"/>
    <n v="3"/>
    <s v="acoustic"/>
  </r>
  <r>
    <s v="4NxUuupOGPquDhy1yFIZK3"/>
    <x v="137"/>
    <s v="The Lotto"/>
    <s v="The Lotto"/>
    <x v="1"/>
    <n v="59"/>
    <n v="32.282499999999999"/>
    <n v="193695"/>
    <x v="0"/>
    <b v="0"/>
    <s v="Moderate"/>
    <n v="0.68700000000000006"/>
    <x v="2"/>
    <n v="0.748"/>
    <n v="3"/>
    <n v="-4.54"/>
    <n v="1"/>
    <n v="7.85E-2"/>
    <n v="0.24"/>
    <n v="0"/>
    <n v="0.373"/>
    <n v="0.872"/>
    <n v="88.944000000000003"/>
    <n v="4"/>
    <s v="acoustic"/>
  </r>
  <r>
    <s v="0avtLG17MT8kDf9xc67Niv"/>
    <x v="138"/>
    <s v="Rodrigo Y Gabriela"/>
    <s v="Tamacun"/>
    <x v="1"/>
    <n v="50"/>
    <n v="34.299999999999997"/>
    <n v="205800"/>
    <x v="0"/>
    <b v="0"/>
    <s v="Moderate"/>
    <n v="0.58799999999999997"/>
    <x v="2"/>
    <n v="0.91400000000000003"/>
    <n v="7"/>
    <n v="-7.4420000000000002"/>
    <n v="1"/>
    <n v="3.4099999999999998E-2"/>
    <n v="0.83199999999999996"/>
    <n v="0.85599999999999998"/>
    <n v="0.10299999999999999"/>
    <n v="0.97099999999999997"/>
    <n v="128.553"/>
    <n v="4"/>
    <s v="acoustic"/>
  </r>
  <r>
    <s v="6jI7y83WjuyBne9b3IvdSs"/>
    <x v="25"/>
    <s v="The Ladder"/>
    <s v="Make It Without You"/>
    <x v="1"/>
    <n v="49"/>
    <n v="45.435333333333332"/>
    <n v="272612"/>
    <x v="0"/>
    <b v="0"/>
    <s v="Moderate"/>
    <n v="0.45600000000000002"/>
    <x v="1"/>
    <n v="0.20499999999999999"/>
    <n v="1"/>
    <n v="-8.4369999999999994"/>
    <n v="1"/>
    <n v="3.1300000000000001E-2"/>
    <n v="0.92"/>
    <n v="1.1E-4"/>
    <n v="0.14899999999999999"/>
    <n v="0.161"/>
    <n v="117.663"/>
    <n v="4"/>
    <s v="acoustic"/>
  </r>
  <r>
    <s v="0ngtyvPUKR4YTtkVKvZP02"/>
    <x v="77"/>
    <s v="A Good Day"/>
    <s v="Dream"/>
    <x v="1"/>
    <n v="54"/>
    <n v="35.206666666666663"/>
    <n v="211240"/>
    <x v="0"/>
    <b v="0"/>
    <s v="Moderate"/>
    <n v="0.51200000000000001"/>
    <x v="1"/>
    <n v="0.248"/>
    <n v="2"/>
    <n v="-10.359"/>
    <n v="1"/>
    <n v="2.75E-2"/>
    <n v="0.75"/>
    <s v="2.96e-05"/>
    <n v="0.114"/>
    <n v="0.158"/>
    <n v="109.69199999999999"/>
    <n v="3"/>
    <s v="acoustic"/>
  </r>
  <r>
    <s v="5PoaNLRYLL7rywHSPUOZs8"/>
    <x v="56"/>
    <s v="Big Love, Small Moments"/>
    <s v="Big Love, Small Moments"/>
    <x v="1"/>
    <n v="52"/>
    <n v="34.048833333333334"/>
    <n v="204293"/>
    <x v="0"/>
    <b v="0"/>
    <s v="Moderate"/>
    <n v="0.58199999999999996"/>
    <x v="1"/>
    <n v="0.28199999999999997"/>
    <n v="0"/>
    <n v="-9.2289999999999992"/>
    <n v="1"/>
    <n v="3.1600000000000003E-2"/>
    <n v="0.79300000000000004"/>
    <s v="2.01e-06"/>
    <n v="7.4399999999999994E-2"/>
    <n v="0.27800000000000002"/>
    <n v="118.01900000000001"/>
    <n v="4"/>
    <s v="acoustic"/>
  </r>
  <r>
    <s v="6DwgZO7AMYelPFwr8WPhpg"/>
    <x v="77"/>
    <s v="When Marnie Was There Song Album - Just Know That I Love You."/>
    <s v="I Am Not Alone"/>
    <x v="1"/>
    <n v="46"/>
    <n v="42.06433333333333"/>
    <n v="252386"/>
    <x v="0"/>
    <b v="0"/>
    <s v="Moderate"/>
    <n v="0.56799999999999995"/>
    <x v="1"/>
    <n v="0.18"/>
    <n v="7"/>
    <n v="-11.707000000000001"/>
    <n v="1"/>
    <n v="2.8400000000000002E-2"/>
    <n v="0.75800000000000001"/>
    <s v="6.17e-05"/>
    <n v="0.111"/>
    <n v="0.22800000000000001"/>
    <n v="112.033"/>
    <n v="4"/>
    <s v="acoustic"/>
  </r>
  <r>
    <s v="5X3w2MfxgMTZkn2mTPQs0u"/>
    <x v="55"/>
    <s v="Echos"/>
    <s v="Stand Your Ground"/>
    <x v="0"/>
    <n v="62"/>
    <n v="33.875500000000002"/>
    <n v="203253"/>
    <x v="0"/>
    <b v="0"/>
    <s v="Very Danceable"/>
    <n v="0.71"/>
    <x v="1"/>
    <n v="0.27100000000000002"/>
    <n v="7"/>
    <n v="-9.5410000000000004"/>
    <n v="1"/>
    <n v="2.8299999999999999E-2"/>
    <n v="0.65800000000000003"/>
    <s v="4.59e-06"/>
    <n v="0.115"/>
    <n v="0.68600000000000005"/>
    <n v="131.88"/>
    <n v="4"/>
    <s v="acoustic"/>
  </r>
  <r>
    <s v="5PCwedwyeLZQ6xAUIKbwos"/>
    <x v="139"/>
    <s v="I Never Loved Before I Found You"/>
    <s v="Perfect Man"/>
    <x v="3"/>
    <n v="32"/>
    <n v="48.55533333333333"/>
    <n v="291332"/>
    <x v="0"/>
    <b v="0"/>
    <s v="Moderate"/>
    <n v="0.57399999999999995"/>
    <x v="2"/>
    <n v="0.70399999999999996"/>
    <n v="0"/>
    <n v="-4.6500000000000004"/>
    <n v="1"/>
    <n v="3.1800000000000002E-2"/>
    <n v="9.3100000000000002E-2"/>
    <n v="2.81E-4"/>
    <n v="0.13600000000000001"/>
    <n v="0.33800000000000002"/>
    <n v="117.086"/>
    <n v="4"/>
    <s v="acoustic"/>
  </r>
  <r>
    <s v="32kyGOJpEOTFKR9wvPSsxJ"/>
    <x v="118"/>
    <s v="It's My Life"/>
    <s v="ã‚ã€‚ã£ã¨ã„ã†é–“ã¯ã‚ã‚‹ã•"/>
    <x v="3"/>
    <n v="33"/>
    <n v="28.728833333333334"/>
    <n v="172373"/>
    <x v="0"/>
    <b v="0"/>
    <s v="Moderate"/>
    <n v="0.64"/>
    <x v="2"/>
    <n v="0.89500000000000002"/>
    <n v="9"/>
    <n v="-3.0680000000000001"/>
    <n v="1"/>
    <n v="3.1600000000000003E-2"/>
    <n v="0.27300000000000002"/>
    <n v="0"/>
    <n v="0.247"/>
    <n v="0.94"/>
    <n v="115.941"/>
    <n v="4"/>
    <s v="acoustic"/>
  </r>
  <r>
    <s v="0ifc4mq2mVNefgQFmtXQpt"/>
    <x v="140"/>
    <s v="Pure Fiction"/>
    <s v="Tell The World"/>
    <x v="1"/>
    <n v="58"/>
    <n v="26.888000000000002"/>
    <n v="161328"/>
    <x v="0"/>
    <b v="0"/>
    <s v="Moderate"/>
    <n v="0.66900000000000004"/>
    <x v="2"/>
    <n v="0.85399999999999998"/>
    <n v="4"/>
    <n v="-5.899"/>
    <n v="1"/>
    <n v="4.3099999999999999E-2"/>
    <n v="6.5299999999999997E-2"/>
    <n v="0"/>
    <n v="0.28799999999999998"/>
    <n v="0.70599999999999996"/>
    <n v="120.035"/>
    <n v="4"/>
    <s v="acoustic"/>
  </r>
  <r>
    <s v="2gJ3ZOaiWr3jGHwevufOxr"/>
    <x v="141"/>
    <s v="So Much More (Special Edition)"/>
    <s v="Ain't No Reason"/>
    <x v="1"/>
    <n v="57"/>
    <n v="36.717666666666666"/>
    <n v="220306"/>
    <x v="0"/>
    <b v="0"/>
    <s v="Moderate"/>
    <n v="0.61499999999999999"/>
    <x v="1"/>
    <n v="0.35799999999999998"/>
    <n v="5"/>
    <n v="-9.6940000000000008"/>
    <n v="1"/>
    <n v="5.5199999999999999E-2"/>
    <n v="0.70499999999999996"/>
    <n v="0"/>
    <n v="0.113"/>
    <n v="0.432"/>
    <n v="146.06"/>
    <n v="4"/>
    <s v="acoustic"/>
  </r>
  <r>
    <s v="37jsciEAFxwyjXx0kV6aO6"/>
    <x v="142"/>
    <s v="Songs from the Lowdown"/>
    <s v="A Month from Now"/>
    <x v="3"/>
    <n v="34"/>
    <n v="32.065333333333335"/>
    <n v="192392"/>
    <x v="0"/>
    <b v="0"/>
    <s v="Moderate"/>
    <n v="0.41499999999999998"/>
    <x v="0"/>
    <n v="0.61899999999999999"/>
    <n v="2"/>
    <n v="-7.6239999999999997"/>
    <n v="0"/>
    <n v="0.123"/>
    <n v="0.94599999999999995"/>
    <s v="2.75e-05"/>
    <n v="0.79900000000000004"/>
    <n v="0.73899999999999999"/>
    <n v="77.009"/>
    <n v="4"/>
    <s v="acoustic"/>
  </r>
  <r>
    <s v="22KbVMZekQbkrHGrubQTpQ"/>
    <x v="35"/>
    <s v="Bookmarks"/>
    <s v="What If"/>
    <x v="1"/>
    <n v="55"/>
    <n v="34.537999999999997"/>
    <n v="207228"/>
    <x v="0"/>
    <b v="0"/>
    <s v="Moderate"/>
    <n v="0.56499999999999995"/>
    <x v="2"/>
    <n v="0.89500000000000002"/>
    <n v="0"/>
    <n v="-5.3540000000000001"/>
    <n v="1"/>
    <n v="0.04"/>
    <n v="0.19400000000000001"/>
    <n v="0"/>
    <n v="0.10100000000000001"/>
    <n v="0.59199999999999997"/>
    <n v="149.91900000000001"/>
    <n v="4"/>
    <s v="acoustic"/>
  </r>
  <r>
    <s v="4RiKD76gS8huCzwWqw0EGC"/>
    <x v="143"/>
    <s v="Bridge City Sinners"/>
    <s v="Pussy Cat"/>
    <x v="3"/>
    <n v="33"/>
    <n v="20.478999999999999"/>
    <n v="122874"/>
    <x v="0"/>
    <b v="0"/>
    <s v="Moderate"/>
    <n v="0.58599999999999997"/>
    <x v="2"/>
    <n v="0.70199999999999996"/>
    <n v="0"/>
    <n v="-4.4180000000000001"/>
    <n v="1"/>
    <n v="0.13200000000000001"/>
    <n v="0.59"/>
    <n v="0"/>
    <n v="0.14599999999999999"/>
    <n v="0.64400000000000002"/>
    <n v="177.59800000000001"/>
    <n v="4"/>
    <s v="acoustic"/>
  </r>
  <r>
    <s v="3XFhSbm8EdZD6Cjrm1dNJQ"/>
    <x v="144"/>
    <s v="Tape Deck Heart (Deluxe Edition)"/>
    <s v="Polaroid Picture"/>
    <x v="3"/>
    <n v="33"/>
    <n v="37.169166666666669"/>
    <n v="223015"/>
    <x v="0"/>
    <b v="0"/>
    <s v="Moderate"/>
    <n v="0.56399999999999995"/>
    <x v="0"/>
    <n v="0.60399999999999998"/>
    <n v="7"/>
    <n v="-5.0549999999999997"/>
    <n v="1"/>
    <n v="5.4899999999999997E-2"/>
    <n v="2.87E-2"/>
    <s v="4.74e-06"/>
    <n v="0.108"/>
    <n v="0.34100000000000003"/>
    <n v="113.09099999999999"/>
    <n v="4"/>
    <s v="acoustic"/>
  </r>
  <r>
    <s v="3nImoHhXBOqYcdTN8gt9eE"/>
    <x v="145"/>
    <s v="sadsadchristmas"/>
    <s v="I Bet On Flying High"/>
    <x v="3"/>
    <n v="0"/>
    <n v="25.833333333333332"/>
    <n v="155000"/>
    <x v="0"/>
    <b v="0"/>
    <s v="Moderate"/>
    <n v="0.54300000000000004"/>
    <x v="1"/>
    <n v="0.35899999999999999"/>
    <n v="8"/>
    <n v="-6.5709999999999997"/>
    <n v="1"/>
    <n v="3.0200000000000001E-2"/>
    <n v="0.65100000000000002"/>
    <n v="0"/>
    <n v="9.8100000000000007E-2"/>
    <n v="0.34599999999999997"/>
    <n v="109.735"/>
    <n v="4"/>
    <s v="acoustic"/>
  </r>
  <r>
    <s v="0B3g35bVxJ42Y0W0I5WBIU"/>
    <x v="145"/>
    <s v="Christmas Vibes But Not Christmas Songs"/>
    <s v="I Bet On Flying High"/>
    <x v="3"/>
    <n v="0"/>
    <n v="25.833333333333332"/>
    <n v="155000"/>
    <x v="0"/>
    <b v="0"/>
    <s v="Moderate"/>
    <n v="0.54300000000000004"/>
    <x v="1"/>
    <n v="0.35899999999999999"/>
    <n v="8"/>
    <n v="-6.5709999999999997"/>
    <n v="1"/>
    <n v="3.0200000000000001E-2"/>
    <n v="0.65100000000000002"/>
    <n v="0"/>
    <n v="9.8100000000000007E-2"/>
    <n v="0.34599999999999997"/>
    <n v="109.735"/>
    <n v="4"/>
    <s v="acoustic"/>
  </r>
  <r>
    <s v="1igSa6QILI1jyE970ZMYW1"/>
    <x v="145"/>
    <s v="Acoustic Christmas Campfire"/>
    <s v="I Bet On Flying High"/>
    <x v="3"/>
    <n v="0"/>
    <n v="25.833333333333332"/>
    <n v="155000"/>
    <x v="0"/>
    <b v="0"/>
    <s v="Moderate"/>
    <n v="0.54300000000000004"/>
    <x v="1"/>
    <n v="0.35899999999999999"/>
    <n v="8"/>
    <n v="-6.5709999999999997"/>
    <n v="1"/>
    <n v="3.0200000000000001E-2"/>
    <n v="0.65100000000000002"/>
    <n v="0"/>
    <n v="9.8100000000000007E-2"/>
    <n v="0.34599999999999997"/>
    <n v="109.735"/>
    <n v="4"/>
    <s v="acoustic"/>
  </r>
  <r>
    <s v="4AYITlwiumljGdv0NIGR4T"/>
    <x v="90"/>
    <s v="Mirrors (Acoustic)"/>
    <s v="Mirrors - Acoustic"/>
    <x v="1"/>
    <n v="52"/>
    <n v="37.361666666666665"/>
    <n v="224170"/>
    <x v="0"/>
    <b v="0"/>
    <s v="Moderate"/>
    <n v="0.63800000000000001"/>
    <x v="1"/>
    <n v="0.28699999999999998"/>
    <n v="8"/>
    <n v="-11.173999999999999"/>
    <n v="0"/>
    <n v="4.1200000000000001E-2"/>
    <n v="0.81"/>
    <n v="0"/>
    <n v="8.0399999999999999E-2"/>
    <n v="0.44500000000000001"/>
    <n v="128.02500000000001"/>
    <n v="4"/>
    <s v="acoustic"/>
  </r>
  <r>
    <s v="3YvutLE6lwEyW4WMF5FIi6"/>
    <x v="146"/>
    <s v="10 Futures"/>
    <s v="To the Wonder (feat. Kina Grannis)"/>
    <x v="3"/>
    <n v="21"/>
    <n v="39.834000000000003"/>
    <n v="239004"/>
    <x v="0"/>
    <b v="0"/>
    <s v="Moderate"/>
    <n v="0.51500000000000001"/>
    <x v="0"/>
    <n v="0.46"/>
    <n v="9"/>
    <n v="-11.260999999999999"/>
    <n v="0"/>
    <n v="4.36E-2"/>
    <n v="0.89100000000000001"/>
    <n v="0.14000000000000001"/>
    <n v="8.7400000000000005E-2"/>
    <n v="0.25900000000000001"/>
    <n v="140.06700000000001"/>
    <n v="4"/>
    <s v="acoustic"/>
  </r>
  <r>
    <s v="3geIJghtdmVc7GeJio1xlj"/>
    <x v="90"/>
    <s v="Stay - Acoustic"/>
    <s v="Stay - Acoustic"/>
    <x v="1"/>
    <n v="50"/>
    <n v="30.218499999999999"/>
    <n v="181311"/>
    <x v="0"/>
    <b v="0"/>
    <s v="Moderate"/>
    <n v="0.622"/>
    <x v="1"/>
    <n v="0.221"/>
    <n v="9"/>
    <n v="-14.335000000000001"/>
    <n v="1"/>
    <n v="5.8299999999999998E-2"/>
    <n v="0.90100000000000002"/>
    <n v="0"/>
    <n v="0.107"/>
    <n v="0.29699999999999999"/>
    <n v="131.827"/>
    <n v="4"/>
    <s v="acoustic"/>
  </r>
  <r>
    <s v="1yycinn2WICj4UKGQ9xPjD"/>
    <x v="147"/>
    <s v="ãƒžãƒ›ãƒ­ãƒœã‚·ãƒ¤"/>
    <s v="å¤ªé™½ã•ã‚“"/>
    <x v="1"/>
    <n v="55"/>
    <n v="24.108833333333333"/>
    <n v="144653"/>
    <x v="0"/>
    <b v="0"/>
    <s v="Moderate"/>
    <n v="0.44"/>
    <x v="1"/>
    <n v="3.5299999999999998E-2"/>
    <n v="6"/>
    <n v="-20.858000000000001"/>
    <n v="1"/>
    <n v="5.2200000000000003E-2"/>
    <n v="0.99"/>
    <n v="3.1199999999999999E-3"/>
    <n v="0.108"/>
    <n v="0.36199999999999999"/>
    <n v="181.988"/>
    <n v="4"/>
    <s v="acoustic"/>
  </r>
  <r>
    <s v="5Z8O4RFAmjA13jrOYIgyXA"/>
    <x v="3"/>
    <s v="Oh What A Love"/>
    <s v="Oh What A Love"/>
    <x v="1"/>
    <n v="46"/>
    <n v="39.189166666666665"/>
    <n v="235135"/>
    <x v="0"/>
    <b v="0"/>
    <s v="Moderate"/>
    <n v="0.45700000000000002"/>
    <x v="1"/>
    <n v="6.4000000000000001E-2"/>
    <n v="6"/>
    <n v="-19.928000000000001"/>
    <n v="1"/>
    <n v="3.39E-2"/>
    <n v="0.94099999999999995"/>
    <n v="0.108"/>
    <n v="0.107"/>
    <n v="6.4699999999999994E-2"/>
    <n v="147.82400000000001"/>
    <n v="3"/>
    <s v="acoustic"/>
  </r>
  <r>
    <s v="1ABd3bWsG4FCKePjXeVfJG"/>
    <x v="148"/>
    <s v="The Bright Side"/>
    <s v="Leave The Lights On"/>
    <x v="1"/>
    <n v="56"/>
    <n v="41.393333333333331"/>
    <n v="248360"/>
    <x v="0"/>
    <b v="0"/>
    <s v="Moderate"/>
    <n v="0.64900000000000002"/>
    <x v="2"/>
    <n v="0.82099999999999995"/>
    <n v="1"/>
    <n v="-6.4829999999999997"/>
    <n v="0"/>
    <n v="3.1300000000000001E-2"/>
    <n v="3.0200000000000001E-2"/>
    <n v="1.4100000000000001E-4"/>
    <n v="8.43E-2"/>
    <n v="0.66100000000000003"/>
    <n v="121.938"/>
    <n v="4"/>
    <s v="acoustic"/>
  </r>
  <r>
    <s v="4I18rXWixQBWc8JhTqx6Xn"/>
    <x v="149"/>
    <s v="I Won't Let You Down"/>
    <s v="I Won't Let You Down"/>
    <x v="1"/>
    <n v="40"/>
    <n v="33.057333333333332"/>
    <n v="198344"/>
    <x v="0"/>
    <b v="0"/>
    <s v="Moderate"/>
    <n v="0.495"/>
    <x v="1"/>
    <n v="0.32900000000000001"/>
    <n v="7"/>
    <n v="-11.661"/>
    <n v="1"/>
    <n v="3.8600000000000002E-2"/>
    <n v="0.65200000000000002"/>
    <s v="7.61e-05"/>
    <n v="6.0600000000000001E-2"/>
    <n v="9.1899999999999996E-2"/>
    <n v="72.992000000000004"/>
    <n v="4"/>
    <s v="acoustic"/>
  </r>
  <r>
    <s v="3IORLAm07yxo4T7B8cRET3"/>
    <x v="7"/>
    <s v="Look For The Good"/>
    <s v="Look For The Good (Single Version)"/>
    <x v="3"/>
    <n v="21"/>
    <n v="39.9495"/>
    <n v="239697"/>
    <x v="0"/>
    <b v="0"/>
    <s v="Very Danceable"/>
    <n v="0.71"/>
    <x v="0"/>
    <n v="0.61499999999999999"/>
    <n v="0"/>
    <n v="-8.23"/>
    <n v="1"/>
    <n v="0.13300000000000001"/>
    <n v="3.8399999999999997E-2"/>
    <n v="0"/>
    <n v="0.28299999999999997"/>
    <n v="0.746"/>
    <n v="90.263000000000005"/>
    <n v="4"/>
    <s v="acoustic"/>
  </r>
  <r>
    <s v="4sAX65hbNtEC1lceCdGuMt"/>
    <x v="150"/>
    <s v="Stargazing"/>
    <s v="Stargazing"/>
    <x v="1"/>
    <n v="55"/>
    <n v="31.055666666666667"/>
    <n v="186334"/>
    <x v="0"/>
    <b v="0"/>
    <s v="Moderate"/>
    <n v="0.69"/>
    <x v="1"/>
    <n v="0.20399999999999999"/>
    <n v="7"/>
    <n v="-12.427"/>
    <n v="1"/>
    <n v="3.0099999999999998E-2"/>
    <n v="0.93200000000000005"/>
    <s v="1.73e-06"/>
    <n v="0.11899999999999999"/>
    <n v="0.52500000000000002"/>
    <n v="139.58699999999999"/>
    <n v="4"/>
    <s v="acoustic"/>
  </r>
  <r>
    <s v="7vg5fesQdq5I7Z7XGdyJd5"/>
    <x v="109"/>
    <s v="Bad Liar"/>
    <s v="Bad Liar"/>
    <x v="1"/>
    <n v="50"/>
    <n v="37.81283333333333"/>
    <n v="226877"/>
    <x v="0"/>
    <b v="0"/>
    <s v="Moderate"/>
    <n v="0.59599999999999997"/>
    <x v="1"/>
    <n v="0.19500000000000001"/>
    <n v="7"/>
    <n v="-11.02"/>
    <n v="1"/>
    <n v="2.64E-2"/>
    <n v="0.92600000000000005"/>
    <n v="0"/>
    <n v="0.13900000000000001"/>
    <n v="0.17599999999999999"/>
    <n v="82.114000000000004"/>
    <n v="4"/>
    <s v="acoustic"/>
  </r>
  <r>
    <s v="6Xrq1dAFgZcSi5HuuHe27i"/>
    <x v="60"/>
    <s v="One Spring Night (Original Television Soundtrack), Pt. 3"/>
    <s v="Is It You"/>
    <x v="1"/>
    <n v="41"/>
    <n v="45.543333333333337"/>
    <n v="273260"/>
    <x v="0"/>
    <b v="0"/>
    <s v="Moderate"/>
    <n v="0.66"/>
    <x v="2"/>
    <n v="0.74299999999999999"/>
    <n v="9"/>
    <n v="-8.3019999999999996"/>
    <n v="1"/>
    <n v="5.0599999999999999E-2"/>
    <n v="3.2899999999999999E-2"/>
    <n v="1.3600000000000001E-3"/>
    <n v="9.8000000000000004E-2"/>
    <n v="0.44500000000000001"/>
    <n v="130.02500000000001"/>
    <n v="4"/>
    <s v="acoustic"/>
  </r>
  <r>
    <s v="2TRXV6DoQLjdRrBR6ED6NP"/>
    <x v="93"/>
    <s v="Slow Down Time"/>
    <s v="Slow Down Time"/>
    <x v="1"/>
    <n v="44"/>
    <n v="32.82"/>
    <n v="196920"/>
    <x v="0"/>
    <b v="0"/>
    <s v="Very Danceable"/>
    <n v="0.73299999999999998"/>
    <x v="0"/>
    <n v="0.65700000000000003"/>
    <n v="2"/>
    <n v="-6.843"/>
    <n v="1"/>
    <n v="2.7199999999999998E-2"/>
    <n v="1.2999999999999999E-2"/>
    <s v="6.73e-05"/>
    <n v="0.317"/>
    <n v="0.433"/>
    <n v="109.95399999999999"/>
    <n v="4"/>
    <s v="acoustic"/>
  </r>
  <r>
    <s v="6xXvAzowcCQmoKdDr1oIFJ"/>
    <x v="151"/>
    <s v="Simply Acoustic"/>
    <s v="2002 - Acoustic"/>
    <x v="1"/>
    <n v="57"/>
    <n v="24.175999999999998"/>
    <n v="145056"/>
    <x v="0"/>
    <b v="0"/>
    <s v="Moderate"/>
    <n v="0.58899999999999997"/>
    <x v="1"/>
    <n v="0.29599999999999999"/>
    <n v="0"/>
    <n v="-9.3350000000000009"/>
    <n v="1"/>
    <n v="8.3000000000000004E-2"/>
    <n v="0.84199999999999997"/>
    <n v="0"/>
    <n v="7.3599999999999999E-2"/>
    <n v="0.61099999999999999"/>
    <n v="165.79900000000001"/>
    <n v="3"/>
    <s v="acoustic"/>
  </r>
  <r>
    <s v="5L4G3nwKkd4wykW4BV9sVe"/>
    <x v="152"/>
    <s v="Love, Love, Love"/>
    <s v="Sweeter"/>
    <x v="3"/>
    <n v="33"/>
    <n v="32.670999999999999"/>
    <n v="196026"/>
    <x v="0"/>
    <b v="0"/>
    <s v="Moderate"/>
    <n v="0.68600000000000005"/>
    <x v="1"/>
    <n v="0.377"/>
    <n v="9"/>
    <n v="-9.59"/>
    <n v="1"/>
    <n v="5.8900000000000001E-2"/>
    <n v="0.63800000000000001"/>
    <n v="0"/>
    <n v="0.128"/>
    <n v="0.55100000000000005"/>
    <n v="92.042000000000002"/>
    <n v="4"/>
    <s v="acoustic"/>
  </r>
  <r>
    <s v="0QzY6rP7C8IWMnpEyuQmC6"/>
    <x v="153"/>
    <s v="Heat Waves (Acoustic)"/>
    <s v="Heat Waves - Acoustic"/>
    <x v="1"/>
    <n v="56"/>
    <n v="32.171166666666664"/>
    <n v="193027"/>
    <x v="0"/>
    <b v="0"/>
    <s v="Moderate"/>
    <n v="0.65900000000000003"/>
    <x v="1"/>
    <n v="0.33800000000000002"/>
    <n v="6"/>
    <n v="-10.367000000000001"/>
    <n v="0"/>
    <n v="3.7600000000000001E-2"/>
    <n v="0.84199999999999997"/>
    <n v="0"/>
    <n v="0.27700000000000002"/>
    <n v="0.495"/>
    <n v="145.87700000000001"/>
    <n v="4"/>
    <s v="acoustic"/>
  </r>
  <r>
    <s v="3XdStlaHnq3JrmQDCRqEET"/>
    <x v="154"/>
    <s v="ã‚·ãƒ§ãƒƒãƒ”ãƒ³ã‚°"/>
    <s v="ã‚¢ã‚¸ã‚¢ã®ç´”çœŸ"/>
    <x v="3"/>
    <n v="32"/>
    <n v="38.880000000000003"/>
    <n v="233280"/>
    <x v="0"/>
    <b v="0"/>
    <s v="Very Danceable"/>
    <n v="0.73199999999999998"/>
    <x v="2"/>
    <n v="0.83"/>
    <n v="0"/>
    <n v="-6.63"/>
    <n v="1"/>
    <n v="3.09E-2"/>
    <n v="0.20100000000000001"/>
    <s v="3.04e-05"/>
    <n v="8.0199999999999994E-2"/>
    <n v="0.871"/>
    <n v="111.664"/>
    <n v="4"/>
    <s v="acoustic"/>
  </r>
  <r>
    <s v="4h3rI4uxGsbA4LsLt1nB2t"/>
    <x v="155"/>
    <s v="If the World Was Ending (Acoustic)"/>
    <s v="If the World Was Ending - Acoustic"/>
    <x v="3"/>
    <n v="35"/>
    <n v="35.515166666666666"/>
    <n v="213091"/>
    <x v="0"/>
    <b v="0"/>
    <s v="Moderate"/>
    <n v="0.52200000000000002"/>
    <x v="1"/>
    <n v="0.20200000000000001"/>
    <n v="9"/>
    <n v="-13.38"/>
    <n v="1"/>
    <n v="8.6099999999999996E-2"/>
    <n v="0.91800000000000004"/>
    <n v="0"/>
    <n v="0.185"/>
    <n v="0.45700000000000002"/>
    <n v="147.99199999999999"/>
    <n v="4"/>
    <s v="acoustic"/>
  </r>
  <r>
    <s v="2KhS0LVOw9ralhfbcIi7vL"/>
    <x v="128"/>
    <s v="Three Flights From Alto Nido"/>
    <s v="Comes And Goes (In Waves)"/>
    <x v="1"/>
    <n v="55"/>
    <n v="42.257666666666665"/>
    <n v="253546"/>
    <x v="0"/>
    <b v="0"/>
    <s v="Moderate"/>
    <n v="0.56499999999999995"/>
    <x v="0"/>
    <n v="0.69799999999999995"/>
    <n v="0"/>
    <n v="-8.5960000000000001"/>
    <n v="1"/>
    <n v="2.9499999999999998E-2"/>
    <n v="0.54"/>
    <n v="1.83E-2"/>
    <n v="0.124"/>
    <n v="0.155"/>
    <n v="120.01300000000001"/>
    <n v="4"/>
    <s v="acoustic"/>
  </r>
  <r>
    <s v="6fPblqm2OhtEKvaUEQzLzJ"/>
    <x v="132"/>
    <s v="æ®‹éŸ¿"/>
    <s v="ãªãŒã‚Œæ˜Ÿ"/>
    <x v="3"/>
    <n v="33"/>
    <n v="52.9"/>
    <n v="317400"/>
    <x v="0"/>
    <b v="0"/>
    <s v="Moderate"/>
    <n v="0.47399999999999998"/>
    <x v="0"/>
    <n v="0.40799999999999997"/>
    <n v="7"/>
    <n v="-11.42"/>
    <n v="1"/>
    <n v="3.32E-2"/>
    <n v="0.60299999999999998"/>
    <s v="2.77e-05"/>
    <n v="0.104"/>
    <n v="0.23799999999999999"/>
    <n v="143.881"/>
    <n v="4"/>
    <s v="acoustic"/>
  </r>
  <r>
    <s v="0wFSrH6x1iQOdUljUueAcd"/>
    <x v="156"/>
    <s v="Acoustic Versions"/>
    <s v="Dusk Till Dawn - Acoustic"/>
    <x v="1"/>
    <n v="46"/>
    <n v="27.936"/>
    <n v="167616"/>
    <x v="0"/>
    <b v="0"/>
    <s v="Moderate"/>
    <n v="0.54300000000000004"/>
    <x v="1"/>
    <n v="0.24399999999999999"/>
    <n v="0"/>
    <n v="-8.0619999999999994"/>
    <n v="1"/>
    <n v="5.11E-2"/>
    <n v="0.86399999999999999"/>
    <n v="0"/>
    <n v="0.112"/>
    <n v="0.28999999999999998"/>
    <n v="126.34099999999999"/>
    <n v="3"/>
    <s v="acoustic"/>
  </r>
  <r>
    <s v="1wSZdWFZphxDh6iJhWlIUi"/>
    <x v="1"/>
    <s v="Don't Wanna Leave You"/>
    <s v="Don't Wanna Leave You"/>
    <x v="3"/>
    <n v="38"/>
    <n v="35.278666666666666"/>
    <n v="211672"/>
    <x v="0"/>
    <b v="0"/>
    <s v="Moderate"/>
    <n v="0.67200000000000004"/>
    <x v="0"/>
    <n v="0.64400000000000002"/>
    <n v="11"/>
    <n v="-9.0630000000000006"/>
    <n v="1"/>
    <n v="0.23599999999999999"/>
    <n v="0.79500000000000004"/>
    <n v="0"/>
    <n v="0.14599999999999999"/>
    <n v="0.54900000000000004"/>
    <n v="148.13499999999999"/>
    <n v="4"/>
    <s v="acoustic"/>
  </r>
  <r>
    <s v="5ZpSUdy5wL5Hvwsqz6JCAt"/>
    <x v="81"/>
    <s v="Passenger Seat"/>
    <s v="Passenger Seat"/>
    <x v="0"/>
    <n v="65"/>
    <n v="45.707500000000003"/>
    <n v="274245"/>
    <x v="0"/>
    <b v="0"/>
    <s v="Moderate"/>
    <n v="0.51500000000000001"/>
    <x v="2"/>
    <n v="0.76900000000000002"/>
    <n v="7"/>
    <n v="-5.6959999999999997"/>
    <n v="1"/>
    <n v="3.1E-2"/>
    <n v="4.5600000000000002E-2"/>
    <n v="4.3600000000000002E-3"/>
    <n v="9.6100000000000005E-2"/>
    <n v="0.64400000000000002"/>
    <n v="153.04599999999999"/>
    <n v="4"/>
    <s v="acoustic"/>
  </r>
  <r>
    <s v="3mDvi0k4LuCA7ViLf3Qb3O"/>
    <x v="157"/>
    <s v="Best Days"/>
    <s v="Love"/>
    <x v="0"/>
    <n v="60"/>
    <n v="28.34"/>
    <n v="170040"/>
    <x v="0"/>
    <b v="0"/>
    <s v="Very Danceable"/>
    <n v="0.75900000000000001"/>
    <x v="0"/>
    <n v="0.68400000000000005"/>
    <n v="0"/>
    <n v="-5.7510000000000003"/>
    <n v="1"/>
    <n v="3.15E-2"/>
    <n v="0.26900000000000002"/>
    <n v="0"/>
    <n v="0.13"/>
    <n v="0.75900000000000001"/>
    <n v="107.94799999999999"/>
    <n v="4"/>
    <s v="acoustic"/>
  </r>
  <r>
    <s v="5D6xoqZwDoqRO5V9rNgxFO"/>
    <x v="45"/>
    <s v="Cover Sessions, Vol. 6"/>
    <s v="Hallelujah"/>
    <x v="1"/>
    <n v="54"/>
    <n v="44.627499999999998"/>
    <n v="267765"/>
    <x v="0"/>
    <b v="0"/>
    <s v="Moderate"/>
    <n v="0.62"/>
    <x v="1"/>
    <n v="0.21"/>
    <n v="11"/>
    <n v="-9.6329999999999991"/>
    <n v="0"/>
    <n v="2.7400000000000001E-2"/>
    <n v="0.91100000000000003"/>
    <s v="2.22e-06"/>
    <n v="0.108"/>
    <n v="0.16300000000000001"/>
    <n v="98.558000000000007"/>
    <n v="3"/>
    <s v="acoustic"/>
  </r>
  <r>
    <s v="09t3kwndNebf3RV8DZ5pw3"/>
    <x v="158"/>
    <s v="Phantom"/>
    <s v="Ashes"/>
    <x v="3"/>
    <n v="37"/>
    <n v="41.691000000000003"/>
    <n v="250146"/>
    <x v="0"/>
    <b v="0"/>
    <s v="Moderate"/>
    <n v="0.497"/>
    <x v="1"/>
    <n v="0.254"/>
    <n v="8"/>
    <n v="-11.715999999999999"/>
    <n v="0"/>
    <n v="3.4099999999999998E-2"/>
    <n v="0.89100000000000001"/>
    <n v="4.41E-2"/>
    <n v="0.122"/>
    <n v="6.7599999999999993E-2"/>
    <n v="110.864"/>
    <n v="3"/>
    <s v="acoustic"/>
  </r>
  <r>
    <s v="3yVSlc3y7YWZPAreTHjH9v"/>
    <x v="132"/>
    <s v="æ®‹éŸ¿"/>
    <s v="æ˜Žæ—¥ã®â˜†SHOW"/>
    <x v="3"/>
    <n v="34"/>
    <n v="48.413333333333334"/>
    <n v="290480"/>
    <x v="0"/>
    <b v="0"/>
    <s v="Moderate"/>
    <n v="0.64400000000000002"/>
    <x v="0"/>
    <n v="0.60299999999999998"/>
    <n v="10"/>
    <n v="-5.83"/>
    <n v="1"/>
    <n v="2.63E-2"/>
    <n v="0.30599999999999999"/>
    <n v="0"/>
    <n v="0.26200000000000001"/>
    <n v="0.51600000000000001"/>
    <n v="113.413"/>
    <n v="4"/>
    <s v="acoustic"/>
  </r>
  <r>
    <s v="5LHruF9uFyPxGpimaknrU8"/>
    <x v="45"/>
    <s v="Cover Sessions, Vol. 4"/>
    <s v="Love Me Like You Do"/>
    <x v="1"/>
    <n v="55"/>
    <n v="33.036333333333332"/>
    <n v="198218"/>
    <x v="0"/>
    <b v="0"/>
    <s v="Moderate"/>
    <n v="0.45"/>
    <x v="1"/>
    <n v="0.254"/>
    <n v="4"/>
    <n v="-9.8729999999999993"/>
    <n v="1"/>
    <n v="4.1399999999999999E-2"/>
    <n v="0.82699999999999996"/>
    <n v="0"/>
    <n v="0.20399999999999999"/>
    <n v="0.248"/>
    <n v="92.644000000000005"/>
    <n v="4"/>
    <s v="acoustic"/>
  </r>
  <r>
    <s v="3SxMBVdL2gxhX5V5dXF9jy"/>
    <x v="32"/>
    <s v="Bluebird"/>
    <s v="Lost Sparks"/>
    <x v="1"/>
    <n v="51"/>
    <n v="37.56666666666667"/>
    <n v="225400"/>
    <x v="0"/>
    <b v="0"/>
    <s v="Moderate"/>
    <n v="0.54800000000000004"/>
    <x v="1"/>
    <n v="0.3"/>
    <n v="4"/>
    <n v="-12.71"/>
    <n v="1"/>
    <n v="2.98E-2"/>
    <n v="0.75700000000000001"/>
    <s v="9.28e-06"/>
    <n v="8.5099999999999995E-2"/>
    <n v="0.26400000000000001"/>
    <n v="135.90199999999999"/>
    <n v="4"/>
    <s v="acoustic"/>
  </r>
  <r>
    <s v="6XCPQygbj33s7OUxlbo6bX"/>
    <x v="159"/>
    <s v="Back to Home"/>
    <s v="Who We Are"/>
    <x v="1"/>
    <n v="48"/>
    <n v="43.31283333333333"/>
    <n v="259877"/>
    <x v="0"/>
    <b v="0"/>
    <s v="Moderate"/>
    <n v="0.52100000000000002"/>
    <x v="0"/>
    <n v="0.50700000000000001"/>
    <n v="7"/>
    <n v="-7.0069999999999997"/>
    <n v="1"/>
    <n v="3.1899999999999998E-2"/>
    <n v="1.6199999999999999E-2"/>
    <s v="4.43e-05"/>
    <n v="0.14799999999999999"/>
    <n v="0.153"/>
    <n v="108.16800000000001"/>
    <n v="4"/>
    <s v="acoustic"/>
  </r>
  <r>
    <s v="0IZJR2XrPdWqHdnpaPixw9"/>
    <x v="132"/>
    <s v="SING A SONG"/>
    <s v="Heart (Original Version)"/>
    <x v="3"/>
    <n v="34"/>
    <n v="48.070999999999998"/>
    <n v="288426"/>
    <x v="0"/>
    <b v="0"/>
    <s v="Moderate"/>
    <n v="0.58699999999999997"/>
    <x v="2"/>
    <n v="0.84199999999999997"/>
    <n v="4"/>
    <n v="-6.04"/>
    <n v="1"/>
    <n v="2.6800000000000001E-2"/>
    <n v="0.27800000000000002"/>
    <n v="0"/>
    <n v="0.16300000000000001"/>
    <n v="0.69299999999999995"/>
    <n v="97.013000000000005"/>
    <n v="4"/>
    <s v="acoustic"/>
  </r>
  <r>
    <s v="3VIbZxc3oo1eAlb7tcRsG1"/>
    <x v="56"/>
    <s v="It'll Be Alright"/>
    <s v="It'll Be Alright"/>
    <x v="1"/>
    <n v="51"/>
    <n v="36.560499999999998"/>
    <n v="219363"/>
    <x v="0"/>
    <b v="0"/>
    <s v="Moderate"/>
    <n v="0.54300000000000004"/>
    <x v="1"/>
    <n v="0.32400000000000001"/>
    <n v="0"/>
    <n v="-11.257999999999999"/>
    <n v="1"/>
    <n v="3.1600000000000003E-2"/>
    <n v="0.45200000000000001"/>
    <s v="2.81e-05"/>
    <n v="0.41199999999999998"/>
    <n v="0.18099999999999999"/>
    <n v="139.88300000000001"/>
    <n v="4"/>
    <s v="acoustic"/>
  </r>
  <r>
    <s v="3SBzDgdTwHOMSik82ZI6L2"/>
    <x v="37"/>
    <s v="Everybody"/>
    <s v="Everybody"/>
    <x v="1"/>
    <n v="54"/>
    <n v="34.737666666666669"/>
    <n v="208426"/>
    <x v="0"/>
    <b v="0"/>
    <s v="Very Danceable"/>
    <n v="0.74199999999999999"/>
    <x v="0"/>
    <n v="0.63600000000000001"/>
    <n v="11"/>
    <n v="-6.7439999999999998"/>
    <n v="1"/>
    <n v="3.3099999999999997E-2"/>
    <n v="0.44600000000000001"/>
    <n v="0"/>
    <n v="8.1699999999999995E-2"/>
    <n v="0.48"/>
    <n v="95.001999999999995"/>
    <n v="4"/>
    <s v="acoustic"/>
  </r>
  <r>
    <s v="2hSag78vkaBXqpaDF3serw"/>
    <x v="160"/>
    <s v="Kabilugan Ng Buwan"/>
    <s v="Kabilugan Ng Buwan"/>
    <x v="3"/>
    <n v="32"/>
    <n v="47.24666666666667"/>
    <n v="283480"/>
    <x v="0"/>
    <b v="0"/>
    <s v="Very Danceable"/>
    <n v="0.70699999999999996"/>
    <x v="0"/>
    <n v="0.40200000000000002"/>
    <n v="4"/>
    <n v="-9.7729999999999997"/>
    <n v="1"/>
    <n v="2.5100000000000001E-2"/>
    <n v="0.67700000000000005"/>
    <n v="0"/>
    <n v="0.104"/>
    <n v="0.313"/>
    <n v="94.99"/>
    <n v="4"/>
    <s v="acoustic"/>
  </r>
  <r>
    <s v="3wpZTp7HM8Dv25oExNgCC6"/>
    <x v="37"/>
    <s v="Be OK"/>
    <s v="Keep Breathing"/>
    <x v="1"/>
    <n v="54"/>
    <n v="34.264333333333333"/>
    <n v="205586"/>
    <x v="0"/>
    <b v="0"/>
    <s v="Moderate"/>
    <n v="0.52"/>
    <x v="1"/>
    <n v="0.308"/>
    <n v="7"/>
    <n v="-11.996"/>
    <n v="1"/>
    <n v="3.3099999999999997E-2"/>
    <n v="0.77600000000000002"/>
    <n v="2.8500000000000001E-3"/>
    <n v="0.115"/>
    <n v="0.187"/>
    <n v="125.93"/>
    <n v="3"/>
    <s v="acoustic"/>
  </r>
  <r>
    <s v="63wsZUhUZLlh1OsyrZq7sz"/>
    <x v="161"/>
    <s v="Cover Sessions, Vol. 2"/>
    <s v="Fast Car"/>
    <x v="0"/>
    <n v="61"/>
    <n v="50.715499999999999"/>
    <n v="304293"/>
    <x v="0"/>
    <b v="0"/>
    <s v="Low"/>
    <n v="0.39200000000000002"/>
    <x v="1"/>
    <n v="0.251"/>
    <n v="10"/>
    <n v="-9.8450000000000006"/>
    <n v="1"/>
    <n v="3.6299999999999999E-2"/>
    <n v="0.80700000000000005"/>
    <n v="0"/>
    <n v="7.9699999999999993E-2"/>
    <n v="0.50800000000000001"/>
    <n v="204.96100000000001"/>
    <n v="4"/>
    <s v="acoustic"/>
  </r>
  <r>
    <s v="2FSkBDGsqZIxcsnKNgtMLx"/>
    <x v="45"/>
    <s v="Cover Sessions, Vol. 2"/>
    <s v="Just the Way You Are"/>
    <x v="1"/>
    <n v="55"/>
    <n v="39.92883333333333"/>
    <n v="239573"/>
    <x v="0"/>
    <b v="0"/>
    <s v="Moderate"/>
    <n v="0.53100000000000003"/>
    <x v="1"/>
    <n v="0.29599999999999999"/>
    <n v="1"/>
    <n v="-7.5940000000000003"/>
    <n v="1"/>
    <n v="3.04E-2"/>
    <n v="0.84"/>
    <n v="0"/>
    <n v="0.124"/>
    <n v="0.21199999999999999"/>
    <n v="106.35899999999999"/>
    <n v="4"/>
    <s v="acoustic"/>
  </r>
  <r>
    <s v="3e5UDAmMzMUM95PqjVHC4L"/>
    <x v="25"/>
    <s v="The Ladder"/>
    <s v="The Ladder"/>
    <x v="1"/>
    <n v="55"/>
    <n v="37.854666666666667"/>
    <n v="227128"/>
    <x v="0"/>
    <b v="0"/>
    <s v="Moderate"/>
    <n v="0.68100000000000005"/>
    <x v="0"/>
    <n v="0.60799999999999998"/>
    <n v="8"/>
    <n v="-8.3689999999999998"/>
    <n v="1"/>
    <n v="3.39E-2"/>
    <n v="0.62"/>
    <n v="4.2499999999999998E-4"/>
    <n v="0.13600000000000001"/>
    <n v="0.315"/>
    <n v="123.991"/>
    <n v="4"/>
    <s v="acoustic"/>
  </r>
  <r>
    <s v="2jcDDdBy1foaBC8X9owMrZ"/>
    <x v="132"/>
    <s v="HELLO"/>
    <s v="HELLO (Original Version)"/>
    <x v="3"/>
    <n v="34"/>
    <n v="40.511000000000003"/>
    <n v="243066"/>
    <x v="0"/>
    <b v="0"/>
    <s v="Moderate"/>
    <n v="0.56899999999999995"/>
    <x v="2"/>
    <n v="0.86099999999999999"/>
    <n v="1"/>
    <n v="-4.5469999999999997"/>
    <n v="0"/>
    <n v="4.0599999999999997E-2"/>
    <n v="4.2500000000000003E-2"/>
    <n v="0"/>
    <n v="0.20399999999999999"/>
    <n v="0.51100000000000001"/>
    <n v="77.983000000000004"/>
    <n v="4"/>
    <s v="acoustic"/>
  </r>
  <r>
    <s v="7KC4B2R255iYIPVG8S7Eey"/>
    <x v="162"/>
    <s v="ã ã‚Œãã‹ã‚Œã"/>
    <s v="æŽ¥å»"/>
    <x v="3"/>
    <n v="33"/>
    <n v="61.533333333333331"/>
    <n v="369200"/>
    <x v="0"/>
    <b v="0"/>
    <s v="Very Danceable"/>
    <n v="0.70699999999999996"/>
    <x v="1"/>
    <n v="0.29599999999999999"/>
    <n v="7"/>
    <n v="-11.632999999999999"/>
    <n v="1"/>
    <n v="7.8E-2"/>
    <n v="0.28299999999999997"/>
    <n v="0"/>
    <n v="6.0100000000000001E-2"/>
    <n v="0.65"/>
    <n v="88.006"/>
    <n v="4"/>
    <s v="acoustic"/>
  </r>
  <r>
    <s v="7DUnyslSCb05yeSmGGTJ81"/>
    <x v="163"/>
    <s v="August: Osage County (Original Motion Picture Soundtrack)"/>
    <s v="Can't Keep It Inside"/>
    <x v="1"/>
    <n v="45"/>
    <n v="12.848833333333333"/>
    <n v="77093"/>
    <x v="0"/>
    <b v="0"/>
    <s v="Moderate"/>
    <n v="0.51900000000000002"/>
    <x v="1"/>
    <n v="6.4600000000000005E-2"/>
    <n v="2"/>
    <n v="-18.898"/>
    <n v="1"/>
    <n v="4.3299999999999998E-2"/>
    <n v="0.98199999999999998"/>
    <s v="3.84e-06"/>
    <n v="0.105"/>
    <n v="0.39500000000000002"/>
    <n v="121.696"/>
    <n v="4"/>
    <s v="acoustic"/>
  </r>
  <r>
    <s v="2lXGLbSXrSACMa2oelt4TE"/>
    <x v="162"/>
    <s v="éŸ³ã‚¿ã‚¤ãƒ "/>
    <s v="æ˜Žæ—¥å¤©æ°—ã«ãªã‚Œ"/>
    <x v="3"/>
    <n v="33"/>
    <n v="40.806666666666665"/>
    <n v="244840"/>
    <x v="0"/>
    <b v="0"/>
    <s v="Moderate"/>
    <n v="0.60799999999999998"/>
    <x v="2"/>
    <n v="0.70499999999999996"/>
    <n v="3"/>
    <n v="-5.1779999999999999"/>
    <n v="1"/>
    <n v="2.53E-2"/>
    <n v="7.8E-2"/>
    <s v="8.36e-05"/>
    <n v="0.17899999999999999"/>
    <n v="0.621"/>
    <n v="111.20399999999999"/>
    <n v="4"/>
    <s v="acoustic"/>
  </r>
  <r>
    <s v="6uZroCk7E7L7RhY7NAvC3Y"/>
    <x v="132"/>
    <s v="IT'S ONLY LOVE"/>
    <s v="IT'S ONLY LOVE"/>
    <x v="3"/>
    <n v="34"/>
    <n v="45.87766666666667"/>
    <n v="275266"/>
    <x v="0"/>
    <b v="0"/>
    <s v="Moderate"/>
    <n v="0.58499999999999996"/>
    <x v="2"/>
    <n v="0.73399999999999999"/>
    <n v="9"/>
    <n v="-5.3650000000000002"/>
    <n v="1"/>
    <n v="3.2000000000000001E-2"/>
    <n v="3.3399999999999999E-2"/>
    <n v="0"/>
    <n v="9.3399999999999997E-2"/>
    <n v="0.41299999999999998"/>
    <n v="117.84"/>
    <n v="4"/>
    <s v="acoustic"/>
  </r>
  <r>
    <s v="6ITdND5IQ7lHzjkyJZSt53"/>
    <x v="132"/>
    <s v="è™¹/ã²ã¾ã‚ã‚Š/ãã‚ŒãŒã™ã¹ã¦ã•"/>
    <s v="ãã‚ŒãŒã™ã¹ã¦ã•"/>
    <x v="3"/>
    <n v="34"/>
    <n v="55.12"/>
    <n v="330720"/>
    <x v="0"/>
    <b v="0"/>
    <s v="Moderate"/>
    <n v="0.52700000000000002"/>
    <x v="2"/>
    <n v="0.89"/>
    <n v="7"/>
    <n v="-5.6509999999999998"/>
    <n v="1"/>
    <n v="6.6500000000000004E-2"/>
    <n v="4.3299999999999996E-3"/>
    <n v="0"/>
    <n v="0.11799999999999999"/>
    <n v="0.42499999999999999"/>
    <n v="102.64400000000001"/>
    <n v="4"/>
    <s v="acoustic"/>
  </r>
  <r>
    <s v="71vcffc4Yfz0pt9AbaL386"/>
    <x v="38"/>
    <s v="Is There Anybody Out There? - Track by Track Commentary"/>
    <s v="I Don't Wanna Love Somebody Else"/>
    <x v="1"/>
    <n v="49"/>
    <n v="27.326666666666668"/>
    <n v="163960"/>
    <x v="0"/>
    <b v="0"/>
    <s v="Moderate"/>
    <n v="0.495"/>
    <x v="1"/>
    <n v="0.22"/>
    <n v="5"/>
    <n v="-11.16"/>
    <n v="1"/>
    <n v="3.5499999999999997E-2"/>
    <n v="0.84699999999999998"/>
    <s v="1.4e-06"/>
    <n v="9.5699999999999993E-2"/>
    <n v="0.34499999999999997"/>
    <n v="126.61799999999999"/>
    <n v="4"/>
    <s v="acoustic"/>
  </r>
  <r>
    <s v="7wbSp6u3cGj5GTN0lNxZ4X"/>
    <x v="164"/>
    <s v="Burn It All!"/>
    <s v="Burn It All!"/>
    <x v="3"/>
    <n v="33"/>
    <n v="32.312333333333335"/>
    <n v="193874"/>
    <x v="0"/>
    <b v="0"/>
    <s v="Moderate"/>
    <n v="0.628"/>
    <x v="0"/>
    <n v="0.42399999999999999"/>
    <n v="6"/>
    <n v="-8.5389999999999997"/>
    <n v="1"/>
    <n v="4.1599999999999998E-2"/>
    <n v="0.39500000000000002"/>
    <s v="4.28e-06"/>
    <n v="0.106"/>
    <n v="0.157"/>
    <n v="99.695999999999998"/>
    <n v="1"/>
    <s v="acoustic"/>
  </r>
  <r>
    <s v="0HL3y3bsKSARBSP0qaImwb"/>
    <x v="20"/>
    <s v="Onward (Original Motion Picture Soundtrack)"/>
    <s v="Carried Me With You"/>
    <x v="0"/>
    <n v="62"/>
    <n v="35.622"/>
    <n v="213732"/>
    <x v="0"/>
    <b v="0"/>
    <s v="Moderate"/>
    <n v="0.63900000000000001"/>
    <x v="0"/>
    <n v="0.66600000000000004"/>
    <n v="0"/>
    <n v="-7.7750000000000004"/>
    <n v="1"/>
    <n v="6.3600000000000004E-2"/>
    <n v="0.27100000000000002"/>
    <n v="0"/>
    <n v="0.111"/>
    <n v="0.372"/>
    <n v="98.384"/>
    <n v="4"/>
    <s v="acoustic"/>
  </r>
  <r>
    <s v="1yZWcHtL0KMhKadWXG26SG"/>
    <x v="165"/>
    <s v="This Is Not for Children"/>
    <s v="O, Pennsyltucky!"/>
    <x v="3"/>
    <n v="33"/>
    <n v="37.842166666666664"/>
    <n v="227053"/>
    <x v="0"/>
    <b v="0"/>
    <s v="Low"/>
    <n v="0.245"/>
    <x v="0"/>
    <n v="0.624"/>
    <n v="2"/>
    <n v="-5.6059999999999999"/>
    <n v="1"/>
    <n v="3.6799999999999999E-2"/>
    <n v="0.11"/>
    <n v="0"/>
    <n v="0.36299999999999999"/>
    <n v="0.46200000000000002"/>
    <n v="162.58600000000001"/>
    <n v="3"/>
    <s v="acoustic"/>
  </r>
  <r>
    <s v="4N1PJshrO7sHB468RoZQjL"/>
    <x v="144"/>
    <s v="No Man's Land"/>
    <s v="I Believed You, William Blake"/>
    <x v="3"/>
    <n v="31"/>
    <n v="35.906666666666666"/>
    <n v="215440"/>
    <x v="0"/>
    <b v="0"/>
    <s v="Low"/>
    <n v="0.38700000000000001"/>
    <x v="0"/>
    <n v="0.52600000000000002"/>
    <n v="9"/>
    <n v="-7.6109999999999998"/>
    <n v="0"/>
    <n v="3.0099999999999998E-2"/>
    <n v="0.24399999999999999"/>
    <n v="3.86E-4"/>
    <n v="0.105"/>
    <n v="0.33400000000000002"/>
    <n v="130.71899999999999"/>
    <n v="4"/>
    <s v="acoustic"/>
  </r>
  <r>
    <s v="3NrUMv6TqphWgk2PdDdg4H"/>
    <x v="103"/>
    <s v="Dancing with the Curse"/>
    <s v="Pepperspray"/>
    <x v="3"/>
    <n v="32"/>
    <n v="22.757166666666667"/>
    <n v="136543"/>
    <x v="0"/>
    <b v="0"/>
    <s v="Moderate"/>
    <n v="0.53900000000000003"/>
    <x v="0"/>
    <n v="0.67500000000000004"/>
    <n v="2"/>
    <n v="-6.9870000000000001"/>
    <n v="1"/>
    <n v="7.0900000000000005E-2"/>
    <n v="0.188"/>
    <n v="0"/>
    <n v="0.19800000000000001"/>
    <n v="0.71899999999999997"/>
    <n v="142.041"/>
    <n v="4"/>
    <s v="acoustic"/>
  </r>
  <r>
    <s v="42mkE3wbofBNickLHgdVlo"/>
    <x v="103"/>
    <s v="Dancing with the Curse"/>
    <s v="Stickup"/>
    <x v="3"/>
    <n v="32"/>
    <n v="37.284500000000001"/>
    <n v="223707"/>
    <x v="0"/>
    <b v="1"/>
    <s v="Moderate"/>
    <n v="0.48699999999999999"/>
    <x v="2"/>
    <n v="0.83699999999999997"/>
    <n v="0"/>
    <n v="-5.8650000000000002"/>
    <n v="1"/>
    <n v="6.2300000000000001E-2"/>
    <n v="1.3299999999999999E-2"/>
    <n v="0"/>
    <n v="0.10199999999999999"/>
    <n v="0.20699999999999999"/>
    <n v="160.02500000000001"/>
    <n v="4"/>
    <s v="acoustic"/>
  </r>
  <r>
    <s v="3Re0unscFRNOkwwEGtxhCO"/>
    <x v="166"/>
    <s v="Heaven (Acoustic)"/>
    <s v="Heaven - Acoustic"/>
    <x v="1"/>
    <n v="54"/>
    <n v="31.363499999999998"/>
    <n v="188181"/>
    <x v="0"/>
    <b v="0"/>
    <s v="Moderate"/>
    <n v="0.52900000000000003"/>
    <x v="1"/>
    <n v="0.24"/>
    <n v="0"/>
    <n v="-9.0660000000000007"/>
    <n v="1"/>
    <n v="3.6999999999999998E-2"/>
    <n v="0.93799999999999994"/>
    <n v="0"/>
    <n v="6.59E-2"/>
    <n v="0.48699999999999999"/>
    <n v="131.26599999999999"/>
    <n v="4"/>
    <s v="acoustic"/>
  </r>
  <r>
    <s v="4H7MpMZ4p3Cc06B11bcgL7"/>
    <x v="167"/>
    <s v="Days Gone (Original Soundtrack)"/>
    <s v="Soldier's Eyes"/>
    <x v="1"/>
    <n v="50"/>
    <n v="28.626666666666665"/>
    <n v="171760"/>
    <x v="0"/>
    <b v="0"/>
    <s v="Moderate"/>
    <n v="0.66600000000000004"/>
    <x v="1"/>
    <n v="0.28899999999999998"/>
    <n v="7"/>
    <n v="-12.404"/>
    <n v="1"/>
    <n v="3.1699999999999999E-2"/>
    <n v="0.64100000000000001"/>
    <s v="8.2e-06"/>
    <n v="0.109"/>
    <n v="0.41499999999999998"/>
    <n v="109.965"/>
    <n v="4"/>
    <s v="acoustic"/>
  </r>
  <r>
    <s v="7AKxbxzkxm2ERWrd1ggniO"/>
    <x v="147"/>
    <s v="Asleep Among Endives"/>
    <s v="Asleep Among Endives"/>
    <x v="1"/>
    <n v="58"/>
    <n v="51.040500000000002"/>
    <n v="306243"/>
    <x v="0"/>
    <b v="0"/>
    <s v="Moderate"/>
    <n v="0.45100000000000001"/>
    <x v="1"/>
    <n v="3.1800000000000002E-2"/>
    <n v="0"/>
    <n v="-19.933"/>
    <n v="0"/>
    <n v="4.2099999999999999E-2"/>
    <n v="0.98299999999999998"/>
    <n v="5.3199999999999997E-2"/>
    <n v="9.8900000000000002E-2"/>
    <n v="0.14799999999999999"/>
    <n v="123.985"/>
    <n v="4"/>
    <s v="acoustic"/>
  </r>
  <r>
    <s v="6JAXWoK53LV3hYARf4TzzP"/>
    <x v="86"/>
    <s v="Symphony"/>
    <s v="Symphony - Acoustic"/>
    <x v="1"/>
    <n v="49"/>
    <n v="32.064833333333333"/>
    <n v="192389"/>
    <x v="0"/>
    <b v="0"/>
    <s v="Low"/>
    <n v="0.35899999999999999"/>
    <x v="1"/>
    <n v="0.20799999999999999"/>
    <n v="7"/>
    <n v="-10.567"/>
    <n v="1"/>
    <n v="3.5999999999999997E-2"/>
    <n v="0.94299999999999995"/>
    <n v="0"/>
    <n v="9.3100000000000002E-2"/>
    <n v="0.105"/>
    <n v="83.155000000000001"/>
    <n v="3"/>
    <s v="acoustic"/>
  </r>
  <r>
    <s v="7zCuUs0JXXPIH7GA8tWwii"/>
    <x v="44"/>
    <s v="Cover Sessions, Vol. 3"/>
    <s v="When I Was Your Man"/>
    <x v="1"/>
    <n v="52"/>
    <n v="36.411999999999999"/>
    <n v="218472"/>
    <x v="0"/>
    <b v="0"/>
    <s v="Moderate"/>
    <n v="0.40300000000000002"/>
    <x v="1"/>
    <n v="0.23699999999999999"/>
    <n v="7"/>
    <n v="-10.000999999999999"/>
    <n v="1"/>
    <n v="3.9100000000000003E-2"/>
    <n v="0.90600000000000003"/>
    <n v="0"/>
    <n v="0.111"/>
    <n v="0.16300000000000001"/>
    <n v="144.17400000000001"/>
    <n v="4"/>
    <s v="acoustic"/>
  </r>
  <r>
    <s v="5LuSu8fS8PGCH88EDPLYcy"/>
    <x v="151"/>
    <s v="Save Your Tears (Acoustic)"/>
    <s v="Save Your Tears - Acoustic"/>
    <x v="1"/>
    <n v="49"/>
    <n v="29.636333333333333"/>
    <n v="177818"/>
    <x v="0"/>
    <b v="0"/>
    <s v="Moderate"/>
    <n v="0.69299999999999995"/>
    <x v="1"/>
    <n v="0.111"/>
    <n v="0"/>
    <n v="-12.356"/>
    <n v="1"/>
    <n v="3.7900000000000003E-2"/>
    <n v="0.93700000000000006"/>
    <s v="1.47e-06"/>
    <n v="8.5800000000000001E-2"/>
    <n v="0.247"/>
    <n v="110.813"/>
    <n v="4"/>
    <s v="acoustic"/>
  </r>
  <r>
    <s v="4nmjL1mUKOAfAbo9QG9tSE"/>
    <x v="0"/>
    <s v="POP VIRUS"/>
    <s v="Koi"/>
    <x v="1"/>
    <n v="53"/>
    <n v="41.87766666666667"/>
    <n v="251266"/>
    <x v="0"/>
    <b v="0"/>
    <s v="Moderate"/>
    <n v="0.59799999999999998"/>
    <x v="2"/>
    <n v="0.81899999999999995"/>
    <n v="9"/>
    <n v="-2.6190000000000002"/>
    <n v="1"/>
    <n v="9.11E-2"/>
    <n v="8.0999999999999996E-4"/>
    <n v="0"/>
    <n v="0.218"/>
    <n v="0.878"/>
    <n v="158.11500000000001"/>
    <n v="4"/>
    <s v="acoustic"/>
  </r>
  <r>
    <s v="4A6GiKusHlmrtqCyKAyPg2"/>
    <x v="168"/>
    <s v="A.M."/>
    <s v="July Bones"/>
    <x v="1"/>
    <n v="54"/>
    <n v="39.9"/>
    <n v="239400"/>
    <x v="0"/>
    <b v="0"/>
    <s v="Moderate"/>
    <n v="0.59599999999999997"/>
    <x v="1"/>
    <n v="0.27"/>
    <n v="2"/>
    <n v="-11.486000000000001"/>
    <n v="1"/>
    <n v="2.6499999999999999E-2"/>
    <n v="0.78500000000000003"/>
    <n v="0.13400000000000001"/>
    <n v="6.4699999999999994E-2"/>
    <n v="0.155"/>
    <n v="100.006"/>
    <n v="4"/>
    <s v="acoustic"/>
  </r>
  <r>
    <s v="6y4PDihMDJdFRjhunzpJ6s"/>
    <x v="169"/>
    <s v="Autumn Breeze"/>
    <s v="Autumn Breeze"/>
    <x v="1"/>
    <n v="50"/>
    <n v="40.235500000000002"/>
    <n v="241413"/>
    <x v="0"/>
    <b v="0"/>
    <s v="Moderate"/>
    <n v="0.58899999999999997"/>
    <x v="1"/>
    <n v="0.33400000000000002"/>
    <n v="7"/>
    <n v="-10.08"/>
    <n v="1"/>
    <n v="2.9000000000000001E-2"/>
    <n v="0.83199999999999996"/>
    <n v="0"/>
    <n v="0.13300000000000001"/>
    <n v="0.20799999999999999"/>
    <n v="80.036000000000001"/>
    <n v="4"/>
    <s v="acoustic"/>
  </r>
  <r>
    <s v="45SbQo5bq8f0hNdB70IyFC"/>
    <x v="45"/>
    <s v="Save Your Tears"/>
    <s v="Save Your Tears"/>
    <x v="1"/>
    <n v="57"/>
    <n v="36.133333333333333"/>
    <n v="216800"/>
    <x v="0"/>
    <b v="0"/>
    <s v="Very Danceable"/>
    <n v="0.73499999999999999"/>
    <x v="1"/>
    <n v="0.27500000000000002"/>
    <n v="8"/>
    <n v="-8.9939999999999998"/>
    <n v="0"/>
    <n v="3.04E-2"/>
    <n v="0.746"/>
    <n v="0"/>
    <n v="0.13100000000000001"/>
    <n v="0.29399999999999998"/>
    <n v="116.004"/>
    <n v="4"/>
    <s v="acoustic"/>
  </r>
  <r>
    <s v="4l2fpkIEUWv7G9DNp9M2nr"/>
    <x v="170"/>
    <s v="You're Still The One (Acoustic)"/>
    <s v="You're Still The One - Acoustic"/>
    <x v="1"/>
    <n v="53"/>
    <n v="26.884333333333334"/>
    <n v="161306"/>
    <x v="0"/>
    <b v="0"/>
    <s v="Moderate"/>
    <n v="0.60499999999999998"/>
    <x v="1"/>
    <n v="0.16800000000000001"/>
    <n v="2"/>
    <n v="-11.388"/>
    <n v="1"/>
    <n v="4.9599999999999998E-2"/>
    <n v="0.88700000000000001"/>
    <n v="0"/>
    <n v="0.12"/>
    <n v="0.39800000000000002"/>
    <n v="119.836"/>
    <n v="4"/>
    <s v="acoustic"/>
  </r>
  <r>
    <s v="1wflx5YklLYToaIbXkrZSq"/>
    <x v="3"/>
    <s v="Somebody Loved"/>
    <s v="Somebody Loved"/>
    <x v="1"/>
    <n v="57"/>
    <n v="25.517499999999998"/>
    <n v="153105"/>
    <x v="0"/>
    <b v="0"/>
    <s v="Moderate"/>
    <n v="0.61199999999999999"/>
    <x v="1"/>
    <n v="0.107"/>
    <n v="0"/>
    <n v="-15.867000000000001"/>
    <n v="1"/>
    <n v="3.0200000000000001E-2"/>
    <n v="0.93600000000000005"/>
    <n v="0"/>
    <n v="0.109"/>
    <n v="0.63700000000000001"/>
    <n v="78.393000000000001"/>
    <n v="4"/>
    <s v="acoustic"/>
  </r>
  <r>
    <s v="0RRZxVYjfY3jWT4XiYAW7k"/>
    <x v="45"/>
    <s v="Cover Sessions, Vol. 4"/>
    <s v="Rise"/>
    <x v="1"/>
    <n v="49"/>
    <n v="33.694499999999998"/>
    <n v="202167"/>
    <x v="0"/>
    <b v="0"/>
    <s v="Moderate"/>
    <n v="0.56799999999999995"/>
    <x v="1"/>
    <n v="0.17699999999999999"/>
    <n v="2"/>
    <n v="-11.276999999999999"/>
    <n v="1"/>
    <n v="3.7400000000000003E-2"/>
    <n v="0.93"/>
    <n v="0"/>
    <n v="9.0499999999999997E-2"/>
    <n v="0.35399999999999998"/>
    <n v="103.822"/>
    <n v="4"/>
    <s v="acoustic"/>
  </r>
  <r>
    <s v="6f9qzNP6elRi8i2NgqGoE5"/>
    <x v="48"/>
    <s v="Bohemian Rhapsody (Acoustic)"/>
    <s v="Bohemian Rhapsody - Acoustic"/>
    <x v="1"/>
    <n v="52"/>
    <n v="28.904333333333334"/>
    <n v="173426"/>
    <x v="0"/>
    <b v="0"/>
    <s v="Moderate"/>
    <n v="0.45100000000000001"/>
    <x v="1"/>
    <n v="6.6500000000000004E-2"/>
    <n v="0"/>
    <n v="-13.862"/>
    <n v="0"/>
    <n v="5.16E-2"/>
    <n v="0.96699999999999997"/>
    <s v="1.06e-06"/>
    <n v="0.109"/>
    <n v="0.34899999999999998"/>
    <n v="64.289000000000001"/>
    <n v="4"/>
    <s v="acoustic"/>
  </r>
  <r>
    <s v="39dhIbeOy13KQlVlLM0m8G"/>
    <x v="151"/>
    <s v="As It Was (Acoustic)"/>
    <s v="As It Was - Acoustic"/>
    <x v="1"/>
    <n v="51"/>
    <n v="24.107333333333333"/>
    <n v="144644"/>
    <x v="0"/>
    <b v="0"/>
    <s v="Moderate"/>
    <n v="0.59499999999999997"/>
    <x v="1"/>
    <n v="4.7699999999999999E-2"/>
    <n v="11"/>
    <n v="-14.672000000000001"/>
    <n v="1"/>
    <n v="6.6199999999999995E-2"/>
    <n v="0.92300000000000004"/>
    <n v="0"/>
    <n v="9.0899999999999995E-2"/>
    <n v="0.51300000000000001"/>
    <n v="118.16200000000001"/>
    <n v="3"/>
    <s v="acoustic"/>
  </r>
  <r>
    <s v="3m0jiOJfxIqGGsRKMOA2uQ"/>
    <x v="32"/>
    <s v="Wish List"/>
    <s v="Wish List"/>
    <x v="1"/>
    <n v="46"/>
    <n v="35.46"/>
    <n v="212760"/>
    <x v="0"/>
    <b v="0"/>
    <s v="Low"/>
    <n v="0.307"/>
    <x v="1"/>
    <n v="0.11"/>
    <n v="1"/>
    <n v="-15.253"/>
    <n v="1"/>
    <n v="3.8800000000000001E-2"/>
    <n v="0.73299999999999998"/>
    <s v="6.04e-06"/>
    <n v="0.111"/>
    <n v="0.32"/>
    <n v="201.00800000000001"/>
    <n v="3"/>
    <s v="acoustic"/>
  </r>
  <r>
    <s v="6IiFTtc2ipIXW5HzwFzOjh"/>
    <x v="4"/>
    <s v="Beautiful Disaster"/>
    <s v="Beautiful Disaster"/>
    <x v="1"/>
    <n v="41"/>
    <n v="40.292999999999999"/>
    <n v="241758"/>
    <x v="0"/>
    <b v="0"/>
    <s v="Low"/>
    <n v="0.3"/>
    <x v="1"/>
    <n v="0.27"/>
    <n v="8"/>
    <n v="-14.397"/>
    <n v="0"/>
    <n v="3.7100000000000001E-2"/>
    <n v="0.9"/>
    <s v="4.47e-05"/>
    <n v="0.1"/>
    <n v="0.214"/>
    <n v="144.589"/>
    <n v="4"/>
    <s v="acoustic"/>
  </r>
  <r>
    <s v="2JI53ZVCxMucM68UpCtZ5C"/>
    <x v="171"/>
    <s v="Fake a smile"/>
    <s v="Fake a smile"/>
    <x v="1"/>
    <n v="57"/>
    <n v="28.266666666666666"/>
    <n v="169600"/>
    <x v="0"/>
    <b v="0"/>
    <s v="Very Danceable"/>
    <n v="0.73099999999999998"/>
    <x v="1"/>
    <n v="0.191"/>
    <n v="0"/>
    <n v="-11.359"/>
    <n v="1"/>
    <n v="0.122"/>
    <n v="0.73499999999999999"/>
    <n v="0.67100000000000004"/>
    <n v="0.13100000000000001"/>
    <n v="0.27400000000000002"/>
    <n v="149.91"/>
    <n v="4"/>
    <s v="acoustic"/>
  </r>
  <r>
    <s v="5NqGfELjcdvRIUuhgZJ34W"/>
    <x v="172"/>
    <s v="Momentary Sixth Sense"/>
    <s v="Marigold"/>
    <x v="1"/>
    <n v="50"/>
    <n v="51.104333333333336"/>
    <n v="306626"/>
    <x v="0"/>
    <b v="0"/>
    <s v="Moderate"/>
    <n v="0.54500000000000004"/>
    <x v="2"/>
    <n v="0.745"/>
    <n v="2"/>
    <n v="-3.0979999999999999"/>
    <n v="1"/>
    <n v="2.86E-2"/>
    <n v="4.5199999999999997E-2"/>
    <n v="0"/>
    <n v="9.0700000000000003E-2"/>
    <n v="0.41299999999999998"/>
    <n v="106.09399999999999"/>
    <n v="4"/>
    <s v="acoustic"/>
  </r>
  <r>
    <s v="0Bv0qHGKNiwzDtHzXrjmIn"/>
    <x v="173"/>
    <s v="Irony"/>
    <s v="River Flows In You"/>
    <x v="1"/>
    <n v="42"/>
    <n v="35.74433333333333"/>
    <n v="214466"/>
    <x v="0"/>
    <b v="0"/>
    <s v="Low"/>
    <n v="0.35599999999999998"/>
    <x v="1"/>
    <n v="0.23"/>
    <n v="6"/>
    <n v="-16.957000000000001"/>
    <n v="0"/>
    <n v="5.1900000000000002E-2"/>
    <n v="0.92300000000000004"/>
    <n v="0.80100000000000005"/>
    <n v="0.112"/>
    <n v="0.11"/>
    <n v="129.53200000000001"/>
    <n v="4"/>
    <s v="acoustic"/>
  </r>
  <r>
    <s v="7z2DKGAsPPdxOwTzMaVYD4"/>
    <x v="174"/>
    <s v="Bullet Train (Original Motion Picture Soundtrack)"/>
    <s v="Kill Me Pretty"/>
    <x v="1"/>
    <n v="47"/>
    <n v="26.744333333333334"/>
    <n v="160466"/>
    <x v="0"/>
    <b v="0"/>
    <s v="Moderate"/>
    <n v="0.432"/>
    <x v="2"/>
    <n v="0.79600000000000004"/>
    <n v="7"/>
    <n v="-7.2619999999999996"/>
    <n v="1"/>
    <n v="6.0600000000000001E-2"/>
    <n v="1.5300000000000001E-4"/>
    <n v="2.0899999999999998E-3"/>
    <n v="0.26600000000000001"/>
    <n v="0.27100000000000002"/>
    <n v="141.86799999999999"/>
    <n v="4"/>
    <s v="acoustic"/>
  </r>
  <r>
    <s v="2XW4AAjfBQTzp7Oe1tU702"/>
    <x v="93"/>
    <s v="No Matter Where You Are"/>
    <s v="No Matter Where You Are"/>
    <x v="1"/>
    <n v="55"/>
    <n v="29.804333333333332"/>
    <n v="178826"/>
    <x v="0"/>
    <b v="0"/>
    <s v="Moderate"/>
    <n v="0.69299999999999995"/>
    <x v="0"/>
    <n v="0.66400000000000003"/>
    <n v="4"/>
    <n v="-5.8520000000000003"/>
    <n v="1"/>
    <n v="3.3599999999999998E-2"/>
    <n v="3.09E-2"/>
    <n v="0"/>
    <n v="0.223"/>
    <n v="0.436"/>
    <n v="132.059"/>
    <n v="4"/>
    <s v="acoustic"/>
  </r>
  <r>
    <s v="7Afr3PKTtlFGHGiXYgnv6P"/>
    <x v="58"/>
    <s v="The Walking in Between"/>
    <s v="I Like You"/>
    <x v="1"/>
    <n v="56"/>
    <n v="23.084333333333333"/>
    <n v="138506"/>
    <x v="0"/>
    <b v="0"/>
    <s v="Moderate"/>
    <n v="0.624"/>
    <x v="1"/>
    <n v="0.33400000000000002"/>
    <n v="3"/>
    <n v="-11.89"/>
    <n v="1"/>
    <n v="3.9100000000000003E-2"/>
    <n v="0.32100000000000001"/>
    <s v="3.27e-06"/>
    <n v="0.113"/>
    <n v="0.39700000000000002"/>
    <n v="157.91999999999999"/>
    <n v="4"/>
    <s v="acoustic"/>
  </r>
  <r>
    <s v="5CijCh8uOTWZO9DQpYwAXw"/>
    <x v="61"/>
    <s v="Losing Sleep"/>
    <s v="The Mess I Made"/>
    <x v="1"/>
    <n v="49"/>
    <n v="38.435499999999998"/>
    <n v="230613"/>
    <x v="0"/>
    <b v="0"/>
    <s v="Moderate"/>
    <n v="0.42299999999999999"/>
    <x v="0"/>
    <n v="0.57199999999999995"/>
    <n v="6"/>
    <n v="-5.109"/>
    <n v="1"/>
    <n v="3.4700000000000002E-2"/>
    <n v="1.5800000000000002E-2"/>
    <n v="0"/>
    <n v="0.23100000000000001"/>
    <n v="0.17"/>
    <n v="165.39400000000001"/>
    <n v="4"/>
    <s v="acoustic"/>
  </r>
  <r>
    <s v="6xAjAocTRpKamQlCy50RRQ"/>
    <x v="175"/>
    <s v="Zee Avi's Nightlight"/>
    <s v="Dream a Little Dream of Me"/>
    <x v="1"/>
    <n v="50"/>
    <n v="18.640333333333334"/>
    <n v="111842"/>
    <x v="0"/>
    <b v="0"/>
    <s v="Moderate"/>
    <n v="0.55500000000000005"/>
    <x v="1"/>
    <n v="8.7900000000000006E-2"/>
    <n v="0"/>
    <n v="-12.141"/>
    <n v="1"/>
    <n v="4.7699999999999999E-2"/>
    <n v="0.96799999999999997"/>
    <n v="0"/>
    <n v="9.6000000000000002E-2"/>
    <n v="0.42799999999999999"/>
    <n v="84.174000000000007"/>
    <n v="4"/>
    <s v="acoustic"/>
  </r>
  <r>
    <s v="0voYwjeuMfvXlF76oesZKu"/>
    <x v="176"/>
    <s v="Here, Right Now"/>
    <s v="Here, Right Now"/>
    <x v="1"/>
    <n v="56"/>
    <n v="30.535499999999999"/>
    <n v="183213"/>
    <x v="0"/>
    <b v="0"/>
    <s v="Moderate"/>
    <n v="0.496"/>
    <x v="1"/>
    <n v="0.39100000000000001"/>
    <n v="10"/>
    <n v="-9.8439999999999994"/>
    <n v="1"/>
    <n v="3.1099999999999999E-2"/>
    <n v="0.82599999999999996"/>
    <n v="1.26E-2"/>
    <n v="0.108"/>
    <n v="0.49199999999999999"/>
    <n v="108.86799999999999"/>
    <n v="4"/>
    <s v="acoustic"/>
  </r>
  <r>
    <s v="6xMm545wcSYbhNFB2Jr2EP"/>
    <x v="45"/>
    <s v="Wonderful Tonight"/>
    <s v="Wonderful Tonight"/>
    <x v="1"/>
    <n v="52"/>
    <n v="36.75116666666667"/>
    <n v="220507"/>
    <x v="0"/>
    <b v="0"/>
    <s v="Moderate"/>
    <n v="0.67100000000000004"/>
    <x v="1"/>
    <n v="0.29899999999999999"/>
    <n v="7"/>
    <n v="-10.582000000000001"/>
    <n v="1"/>
    <n v="2.8400000000000002E-2"/>
    <n v="0.753"/>
    <s v="1.71e-06"/>
    <n v="9.7500000000000003E-2"/>
    <n v="0.28599999999999998"/>
    <n v="95.007999999999996"/>
    <n v="4"/>
    <s v="acoustic"/>
  </r>
  <r>
    <s v="7pq5vONxrAy8T773nhkiW3"/>
    <x v="41"/>
    <s v="English Rain"/>
    <s v="Salvation"/>
    <x v="1"/>
    <n v="50"/>
    <n v="41.417666666666669"/>
    <n v="248506"/>
    <x v="0"/>
    <b v="0"/>
    <s v="Low"/>
    <n v="0.379"/>
    <x v="1"/>
    <n v="0.26700000000000002"/>
    <n v="4"/>
    <n v="-8.9809999999999999"/>
    <n v="1"/>
    <n v="2.93E-2"/>
    <n v="0.60499999999999998"/>
    <n v="3.2200000000000002E-3"/>
    <n v="0.152"/>
    <n v="0.22900000000000001"/>
    <n v="135.19800000000001"/>
    <n v="4"/>
    <s v="acoustic"/>
  </r>
  <r>
    <s v="2dS2710jYUM8gE2V1KC3uG"/>
    <x v="78"/>
    <s v="Twenty Something"/>
    <s v="Wilderness"/>
    <x v="1"/>
    <n v="53"/>
    <n v="44.997666666666667"/>
    <n v="269986"/>
    <x v="0"/>
    <b v="0"/>
    <s v="Moderate"/>
    <n v="0.499"/>
    <x v="1"/>
    <n v="0.20899999999999999"/>
    <n v="3"/>
    <n v="-16.667999999999999"/>
    <n v="1"/>
    <n v="3.0499999999999999E-2"/>
    <n v="0.88200000000000001"/>
    <n v="4.9100000000000003E-3"/>
    <n v="8.7999999999999995E-2"/>
    <n v="0.13800000000000001"/>
    <n v="82.891999999999996"/>
    <n v="4"/>
    <s v="acoustic"/>
  </r>
  <r>
    <s v="2jcdviEbZPIpwM10JBQNYc"/>
    <x v="132"/>
    <s v="Calling"/>
    <s v="æ‹äºº (Original Version)"/>
    <x v="3"/>
    <n v="33"/>
    <n v="45.462166666666668"/>
    <n v="272773"/>
    <x v="0"/>
    <b v="0"/>
    <s v="Moderate"/>
    <n v="0.64900000000000002"/>
    <x v="1"/>
    <n v="0.33600000000000002"/>
    <n v="7"/>
    <n v="-12.053000000000001"/>
    <n v="1"/>
    <n v="2.9899999999999999E-2"/>
    <n v="0.27"/>
    <n v="0"/>
    <n v="0.13700000000000001"/>
    <n v="0.47"/>
    <n v="71.966999999999999"/>
    <n v="4"/>
    <s v="acoustic"/>
  </r>
  <r>
    <s v="6wVxhM5GJiZCro0xPWox6g"/>
    <x v="177"/>
    <s v="Acoustic Duets"/>
    <s v="I Just Called To Say I Love You"/>
    <x v="1"/>
    <n v="54"/>
    <n v="31.607666666666667"/>
    <n v="189646"/>
    <x v="0"/>
    <b v="0"/>
    <s v="Very Danceable"/>
    <n v="0.746"/>
    <x v="1"/>
    <n v="0.25700000000000001"/>
    <n v="0"/>
    <n v="-9.8780000000000001"/>
    <n v="1"/>
    <n v="3.1199999999999999E-2"/>
    <n v="0.77200000000000002"/>
    <n v="0"/>
    <n v="0.107"/>
    <n v="0.34799999999999998"/>
    <n v="132.03200000000001"/>
    <n v="4"/>
    <s v="acoustic"/>
  </r>
  <r>
    <s v="7oyFihJppZYPP7o0NfoHnZ"/>
    <x v="6"/>
    <s v="Particles"/>
    <s v="Fall on Me"/>
    <x v="1"/>
    <n v="50"/>
    <n v="43.803333333333335"/>
    <n v="262820"/>
    <x v="0"/>
    <b v="0"/>
    <s v="Low"/>
    <n v="0.39300000000000002"/>
    <x v="1"/>
    <n v="0.26800000000000002"/>
    <n v="9"/>
    <n v="-6.7409999999999997"/>
    <n v="1"/>
    <n v="3.85E-2"/>
    <n v="0.69699999999999995"/>
    <n v="0"/>
    <n v="0.11"/>
    <n v="0.22500000000000001"/>
    <n v="110.456"/>
    <n v="4"/>
    <s v="acoustic"/>
  </r>
  <r>
    <s v="2a0WwSvmFdXPTdDMilPA1y"/>
    <x v="135"/>
    <s v="Shadows Collide With People"/>
    <s v="Song To Sing When I'm Lonely"/>
    <x v="1"/>
    <n v="54"/>
    <n v="32.535499999999999"/>
    <n v="195213"/>
    <x v="0"/>
    <b v="0"/>
    <s v="Moderate"/>
    <n v="0.629"/>
    <x v="0"/>
    <n v="0.67300000000000004"/>
    <n v="6"/>
    <n v="-4.3789999999999996"/>
    <n v="1"/>
    <n v="2.6200000000000001E-2"/>
    <n v="0.29399999999999998"/>
    <n v="1.09E-2"/>
    <n v="0.13900000000000001"/>
    <n v="0.41899999999999998"/>
    <n v="114.24299999999999"/>
    <n v="4"/>
    <s v="acoustic"/>
  </r>
  <r>
    <s v="0vxlqUrmgsiyAWOHaAfnSK"/>
    <x v="26"/>
    <s v="Daylight"/>
    <s v="A Drop In the Ocean"/>
    <x v="1"/>
    <n v="55"/>
    <n v="38.051833333333335"/>
    <n v="228311"/>
    <x v="0"/>
    <b v="0"/>
    <s v="Moderate"/>
    <n v="0.45800000000000002"/>
    <x v="1"/>
    <n v="0.36299999999999999"/>
    <n v="5"/>
    <n v="-6.4729999999999999"/>
    <n v="1"/>
    <n v="3.2000000000000001E-2"/>
    <n v="0.89200000000000002"/>
    <s v="3.79e-06"/>
    <n v="0.155"/>
    <n v="0.49199999999999999"/>
    <n v="134.25200000000001"/>
    <n v="3"/>
    <s v="acoustic"/>
  </r>
  <r>
    <s v="78ylzQxu8Ht3gbFq5hI9Vo"/>
    <x v="178"/>
    <s v="Have Yourself a Merry Little Christmas"/>
    <s v="Have Yourself a Merry Little Christmas"/>
    <x v="3"/>
    <n v="32"/>
    <n v="25.965333333333334"/>
    <n v="155792"/>
    <x v="0"/>
    <b v="0"/>
    <s v="Moderate"/>
    <n v="0.45200000000000001"/>
    <x v="1"/>
    <n v="0.26800000000000002"/>
    <n v="8"/>
    <n v="-9.4049999999999994"/>
    <n v="1"/>
    <n v="3.1099999999999999E-2"/>
    <n v="0.96099999999999997"/>
    <s v="2.85e-05"/>
    <n v="0.11899999999999999"/>
    <n v="0.26500000000000001"/>
    <n v="66.805000000000007"/>
    <n v="4"/>
    <s v="acoustic"/>
  </r>
  <r>
    <s v="1BZnc6VaggPnrQyjem5Dpf"/>
    <x v="132"/>
    <s v="Message/ä»Š ã“ã®ã²ã¨ã¨ããŒ é ã„å¤¢ã®ã‚ˆã†ã«"/>
    <s v="Message (Original Version)"/>
    <x v="3"/>
    <n v="33"/>
    <n v="42.750999999999998"/>
    <n v="256506"/>
    <x v="0"/>
    <b v="0"/>
    <s v="Moderate"/>
    <n v="0.61599999999999999"/>
    <x v="2"/>
    <n v="0.79100000000000004"/>
    <n v="9"/>
    <n v="-6.2460000000000004"/>
    <n v="1"/>
    <n v="2.93E-2"/>
    <n v="5.9900000000000002E-2"/>
    <s v="3.97e-06"/>
    <n v="0.318"/>
    <n v="0.58899999999999997"/>
    <n v="126.764"/>
    <n v="4"/>
    <s v="acoustic"/>
  </r>
  <r>
    <s v="2K3jLUSLeHrPMA3nKvP1jT"/>
    <x v="179"/>
    <s v="Acoustic Hits, Vol. 3"/>
    <s v="Beautiful In White"/>
    <x v="1"/>
    <n v="50"/>
    <n v="40"/>
    <n v="240000"/>
    <x v="0"/>
    <b v="0"/>
    <s v="Moderate"/>
    <n v="0.61899999999999999"/>
    <x v="1"/>
    <n v="0.27800000000000002"/>
    <n v="4"/>
    <n v="-7.0720000000000001"/>
    <n v="1"/>
    <n v="2.6700000000000002E-2"/>
    <n v="0.83599999999999997"/>
    <n v="0"/>
    <n v="0.121"/>
    <n v="0.23300000000000001"/>
    <n v="129.94800000000001"/>
    <n v="4"/>
    <s v="acoustic"/>
  </r>
  <r>
    <s v="674WNL7f5Xo8XxtipzB3ao"/>
    <x v="67"/>
    <s v="#Acoustic #2"/>
    <s v="Heaven Is a Place on Earth"/>
    <x v="1"/>
    <n v="56"/>
    <n v="32.222166666666666"/>
    <n v="193333"/>
    <x v="0"/>
    <b v="0"/>
    <s v="Moderate"/>
    <n v="0.63400000000000001"/>
    <x v="1"/>
    <n v="0.17599999999999999"/>
    <n v="0"/>
    <n v="-14.702999999999999"/>
    <n v="1"/>
    <n v="3.0700000000000002E-2"/>
    <n v="0.93100000000000005"/>
    <s v="1.6e-06"/>
    <n v="0.13600000000000001"/>
    <n v="0.33500000000000002"/>
    <n v="107.974"/>
    <n v="4"/>
    <s v="acoustic"/>
  </r>
  <r>
    <s v="73Nw51XTNstlk3Wu1K26cB"/>
    <x v="81"/>
    <s v="No More Doubt"/>
    <s v="Passenger Seat (Acoustic)"/>
    <x v="0"/>
    <n v="63"/>
    <n v="45.511000000000003"/>
    <n v="273066"/>
    <x v="0"/>
    <b v="0"/>
    <s v="Moderate"/>
    <n v="0.54900000000000004"/>
    <x v="0"/>
    <n v="0.437"/>
    <n v="7"/>
    <n v="-8.64"/>
    <n v="1"/>
    <n v="3.1300000000000001E-2"/>
    <n v="0.68200000000000005"/>
    <s v="1.59e-05"/>
    <n v="0.224"/>
    <n v="0.68799999999999994"/>
    <n v="153.60400000000001"/>
    <n v="4"/>
    <s v="acoustic"/>
  </r>
  <r>
    <s v="5OWl1kO0gRlPxmp1wFyIWZ"/>
    <x v="21"/>
    <s v="Into The Wild (Music For The Motion Picture)"/>
    <s v="Guaranteed - Humming Version"/>
    <x v="1"/>
    <n v="48"/>
    <n v="27.051500000000001"/>
    <n v="162309"/>
    <x v="0"/>
    <b v="0"/>
    <s v="Low"/>
    <n v="0.29199999999999998"/>
    <x v="1"/>
    <n v="0.33900000000000002"/>
    <n v="7"/>
    <n v="-13.153"/>
    <n v="1"/>
    <n v="3.2000000000000001E-2"/>
    <n v="0.92300000000000004"/>
    <n v="0.879"/>
    <n v="0.111"/>
    <n v="0.34300000000000003"/>
    <n v="100.69"/>
    <n v="4"/>
    <s v="acoustic"/>
  </r>
  <r>
    <s v="5QjuTblPokfD03fkfHUuVK"/>
    <x v="180"/>
    <s v="Folksinger"/>
    <s v="Hang Me, Oh Hang Me"/>
    <x v="1"/>
    <n v="54"/>
    <n v="31.684333333333335"/>
    <n v="190106"/>
    <x v="0"/>
    <b v="0"/>
    <s v="Moderate"/>
    <n v="0.504"/>
    <x v="1"/>
    <n v="2.7300000000000001E-2"/>
    <n v="2"/>
    <n v="-21.440999999999999"/>
    <n v="1"/>
    <n v="4.1500000000000002E-2"/>
    <n v="0.93100000000000005"/>
    <s v="1.1e-05"/>
    <n v="0.109"/>
    <n v="0.39500000000000002"/>
    <n v="120.24"/>
    <n v="4"/>
    <s v="acoustic"/>
  </r>
  <r>
    <s v="2oLaalXlOgiJ70CaI992BA"/>
    <x v="181"/>
    <s v="A Sphere in the Heart of Silence"/>
    <s v="The Afterglow"/>
    <x v="3"/>
    <n v="31"/>
    <n v="53.22"/>
    <n v="319320"/>
    <x v="0"/>
    <b v="0"/>
    <s v="Moderate"/>
    <n v="0.63600000000000001"/>
    <x v="2"/>
    <n v="0.86899999999999999"/>
    <n v="6"/>
    <n v="-5.0949999999999998"/>
    <n v="0"/>
    <n v="2.8400000000000002E-2"/>
    <n v="0.129"/>
    <n v="5.5399999999999998E-2"/>
    <n v="0.27200000000000002"/>
    <n v="0.36899999999999999"/>
    <n v="124.18300000000001"/>
    <n v="4"/>
    <s v="acoustic"/>
  </r>
  <r>
    <s v="0rQ146AWbwiDC1DheKXJxm"/>
    <x v="144"/>
    <s v="West Coast vs. Wessex"/>
    <s v="Eat the Meek"/>
    <x v="3"/>
    <n v="31"/>
    <n v="39.515500000000003"/>
    <n v="237093"/>
    <x v="0"/>
    <b v="0"/>
    <s v="Moderate"/>
    <n v="0.48599999999999999"/>
    <x v="2"/>
    <n v="0.91300000000000003"/>
    <n v="5"/>
    <n v="-6.4160000000000004"/>
    <n v="1"/>
    <n v="6.1600000000000002E-2"/>
    <s v="2.45e-05"/>
    <n v="0.28899999999999998"/>
    <n v="0.22500000000000001"/>
    <n v="0.33400000000000002"/>
    <n v="136.07300000000001"/>
    <n v="4"/>
    <s v="acoustic"/>
  </r>
  <r>
    <s v="5ZUObJNpVt2l9GogUSfALc"/>
    <x v="121"/>
    <s v="Front Porch"/>
    <s v="The Trouble with Wanting"/>
    <x v="0"/>
    <n v="60"/>
    <n v="39.264333333333333"/>
    <n v="235586"/>
    <x v="0"/>
    <b v="0"/>
    <s v="Low"/>
    <n v="0.39600000000000002"/>
    <x v="1"/>
    <n v="0.19800000000000001"/>
    <n v="2"/>
    <n v="-9.0960000000000001"/>
    <n v="1"/>
    <n v="3.1E-2"/>
    <n v="0.91200000000000003"/>
    <n v="0"/>
    <n v="9.7199999999999995E-2"/>
    <n v="0.19"/>
    <n v="138.624"/>
    <n v="3"/>
    <s v="acoustic"/>
  </r>
  <r>
    <s v="1jyddn36UN4tVsJGtaJfem"/>
    <x v="95"/>
    <s v="Gossip In The Grain"/>
    <s v="You Are the Best Thing"/>
    <x v="0"/>
    <n v="67"/>
    <n v="38.64"/>
    <n v="231840"/>
    <x v="0"/>
    <b v="0"/>
    <s v="Moderate"/>
    <n v="0.57799999999999996"/>
    <x v="2"/>
    <n v="0.72699999999999998"/>
    <n v="10"/>
    <n v="-4.8719999999999999"/>
    <n v="1"/>
    <n v="3.32E-2"/>
    <n v="3.04E-2"/>
    <s v="1.99e-05"/>
    <n v="0.17199999999999999"/>
    <n v="0.88500000000000001"/>
    <n v="170.59299999999999"/>
    <n v="4"/>
    <s v="acoustic"/>
  </r>
  <r>
    <s v="73JI06Eznb1N22KHpo3HL7"/>
    <x v="165"/>
    <s v="Bacchanal 'N' Philadelphia"/>
    <s v="Boycott Me!"/>
    <x v="3"/>
    <n v="33"/>
    <n v="27.277666666666665"/>
    <n v="163666"/>
    <x v="0"/>
    <b v="0"/>
    <s v="Moderate"/>
    <n v="0.68400000000000005"/>
    <x v="0"/>
    <n v="0.50900000000000001"/>
    <n v="4"/>
    <n v="-7.6079999999999997"/>
    <n v="1"/>
    <n v="3.3399999999999999E-2"/>
    <n v="0.57099999999999995"/>
    <n v="0"/>
    <n v="0.40200000000000002"/>
    <n v="0.69"/>
    <n v="132.297"/>
    <n v="4"/>
    <s v="acoustic"/>
  </r>
  <r>
    <s v="0YG5wOXVpvNUyPihvr1zsa"/>
    <x v="182"/>
    <s v="Crustfall"/>
    <s v="To Risk to Live"/>
    <x v="3"/>
    <n v="32"/>
    <n v="20.337666666666667"/>
    <n v="122026"/>
    <x v="0"/>
    <b v="1"/>
    <s v="Moderate"/>
    <n v="0.623"/>
    <x v="0"/>
    <n v="0.56699999999999995"/>
    <n v="10"/>
    <n v="-7.7789999999999999"/>
    <n v="1"/>
    <n v="3.6999999999999998E-2"/>
    <n v="0.83099999999999996"/>
    <s v="6.44e-06"/>
    <n v="0.104"/>
    <n v="0.92900000000000005"/>
    <n v="129.94900000000001"/>
    <n v="4"/>
    <s v="acoustic"/>
  </r>
  <r>
    <s v="0wKt65XM5Wit3QH7lZtESU"/>
    <x v="143"/>
    <s v="Unholy Hymns"/>
    <s v="The Legend of Olog-hai, Pt. 1"/>
    <x v="3"/>
    <n v="31"/>
    <n v="27.633166666666668"/>
    <n v="165799"/>
    <x v="0"/>
    <b v="0"/>
    <s v="Low"/>
    <n v="0.22800000000000001"/>
    <x v="0"/>
    <n v="0.57399999999999995"/>
    <n v="4"/>
    <n v="-7.9589999999999996"/>
    <n v="0"/>
    <n v="4.2099999999999999E-2"/>
    <n v="0.51700000000000002"/>
    <n v="1.48E-3"/>
    <n v="0.128"/>
    <n v="0.38900000000000001"/>
    <n v="182.37899999999999"/>
    <n v="4"/>
    <s v="acoustic"/>
  </r>
  <r>
    <s v="6339iq4yAm87arKgnNc922"/>
    <x v="175"/>
    <s v="Acoustic Christmas Campfire"/>
    <s v="No Christmas For Me"/>
    <x v="3"/>
    <n v="0"/>
    <n v="26.777666666666665"/>
    <n v="160666"/>
    <x v="0"/>
    <b v="0"/>
    <s v="Very Danceable"/>
    <n v="0.80900000000000005"/>
    <x v="1"/>
    <n v="0.313"/>
    <n v="9"/>
    <n v="-12.182"/>
    <n v="1"/>
    <n v="4.2799999999999998E-2"/>
    <n v="0.876"/>
    <n v="0"/>
    <n v="0.112"/>
    <n v="0.35"/>
    <n v="114.955"/>
    <n v="4"/>
    <s v="acoustic"/>
  </r>
  <r>
    <s v="6mFsYlDjG2Esy5hXhNy78t"/>
    <x v="103"/>
    <s v="Tall Cans &amp; Loose Ends"/>
    <s v="This One's for Johnny"/>
    <x v="3"/>
    <n v="31"/>
    <n v="32.606666666666669"/>
    <n v="195640"/>
    <x v="0"/>
    <b v="0"/>
    <s v="Moderate"/>
    <n v="0.48199999999999998"/>
    <x v="2"/>
    <n v="0.77200000000000002"/>
    <n v="1"/>
    <n v="-5.1280000000000001"/>
    <n v="1"/>
    <n v="3.1800000000000002E-2"/>
    <n v="2.6499999999999999E-2"/>
    <n v="0"/>
    <n v="0.26900000000000002"/>
    <n v="0.58599999999999997"/>
    <n v="129.91"/>
    <n v="4"/>
    <s v="acoustic"/>
  </r>
  <r>
    <s v="7c0YUDcJreOv1OoBGf1KdH"/>
    <x v="23"/>
    <s v="Graveyard"/>
    <s v="Graveyard - Acoustic"/>
    <x v="1"/>
    <n v="45"/>
    <n v="42.382666666666665"/>
    <n v="254296"/>
    <x v="0"/>
    <b v="0"/>
    <s v="Moderate"/>
    <n v="0.42499999999999999"/>
    <x v="1"/>
    <n v="0.249"/>
    <n v="4"/>
    <n v="-12.218999999999999"/>
    <n v="0"/>
    <n v="3.5499999999999997E-2"/>
    <n v="0.87"/>
    <n v="1.75E-3"/>
    <n v="0.124"/>
    <n v="0.23499999999999999"/>
    <n v="123.63200000000001"/>
    <n v="4"/>
    <s v="acoustic"/>
  </r>
  <r>
    <s v="3V0NxWbbUTa3BUAnchm11i"/>
    <x v="147"/>
    <s v="amuletum bouquet"/>
    <s v="bouquet"/>
    <x v="1"/>
    <n v="56"/>
    <n v="42.726833333333332"/>
    <n v="256361"/>
    <x v="0"/>
    <b v="0"/>
    <s v="Low"/>
    <n v="0.29799999999999999"/>
    <x v="1"/>
    <n v="4.3999999999999997E-2"/>
    <n v="5"/>
    <n v="-20.175999999999998"/>
    <n v="1"/>
    <n v="3.5000000000000003E-2"/>
    <n v="0.98299999999999998"/>
    <n v="0.124"/>
    <n v="0.10100000000000001"/>
    <n v="0.115"/>
    <n v="85.707999999999998"/>
    <n v="4"/>
    <s v="acoustic"/>
  </r>
  <r>
    <s v="3c8k1iPo45JM4fKvIfumwh"/>
    <x v="105"/>
    <s v="Highlights from Aoi Works II"/>
    <s v="ã“ã“ã‚ã‚’ã“ã‚ã¦"/>
    <x v="1"/>
    <n v="45"/>
    <n v="49.544333333333334"/>
    <n v="297266"/>
    <x v="0"/>
    <b v="0"/>
    <s v="Moderate"/>
    <n v="0.46800000000000003"/>
    <x v="1"/>
    <n v="0.254"/>
    <n v="6"/>
    <n v="-11.839"/>
    <n v="1"/>
    <n v="3.0300000000000001E-2"/>
    <n v="0.93799999999999994"/>
    <n v="4.4200000000000001E-4"/>
    <n v="0.107"/>
    <n v="0.24199999999999999"/>
    <n v="135.86199999999999"/>
    <n v="4"/>
    <s v="acoustic"/>
  </r>
  <r>
    <s v="5oDDFjWMz0KiMmRzWSFfQ6"/>
    <x v="183"/>
    <s v="Paradise"/>
    <s v="Paradise"/>
    <x v="1"/>
    <n v="42"/>
    <n v="28.354166666666668"/>
    <n v="170125"/>
    <x v="0"/>
    <b v="0"/>
    <s v="Moderate"/>
    <n v="0.50700000000000001"/>
    <x v="1"/>
    <n v="0.191"/>
    <n v="5"/>
    <n v="-16.341999999999999"/>
    <n v="1"/>
    <n v="4.0800000000000003E-2"/>
    <n v="0.99"/>
    <n v="0.93300000000000005"/>
    <n v="0.108"/>
    <n v="0.221"/>
    <n v="132.131"/>
    <n v="4"/>
    <s v="acoustic"/>
  </r>
  <r>
    <s v="5TIXBnwtMYwgC9yc1QjFp7"/>
    <x v="61"/>
    <s v="Parachute"/>
    <s v="Better"/>
    <x v="1"/>
    <n v="46"/>
    <n v="45.504333333333335"/>
    <n v="273026"/>
    <x v="0"/>
    <b v="0"/>
    <s v="Moderate"/>
    <n v="0.51500000000000001"/>
    <x v="1"/>
    <n v="0.249"/>
    <n v="8"/>
    <n v="-10.108000000000001"/>
    <n v="0"/>
    <n v="4.3999999999999997E-2"/>
    <n v="0.79300000000000004"/>
    <n v="0"/>
    <n v="0.10199999999999999"/>
    <n v="0.21299999999999999"/>
    <n v="108.89"/>
    <n v="5"/>
    <s v="acoustic"/>
  </r>
  <r>
    <s v="4GiLKZ6Fd3d5UMJMGuzAA0"/>
    <x v="59"/>
    <s v="American Wedding"/>
    <s v="Laid"/>
    <x v="1"/>
    <n v="50"/>
    <n v="30.471"/>
    <n v="182826"/>
    <x v="0"/>
    <b v="0"/>
    <s v="Moderate"/>
    <n v="0.56499999999999995"/>
    <x v="2"/>
    <n v="0.89"/>
    <n v="0"/>
    <n v="-5.4809999999999999"/>
    <n v="1"/>
    <n v="2.8500000000000001E-2"/>
    <n v="5.3699999999999998E-3"/>
    <s v="6.61e-05"/>
    <n v="0.21299999999999999"/>
    <n v="0.74399999999999999"/>
    <n v="119.86199999999999"/>
    <n v="4"/>
    <s v="acoustic"/>
  </r>
  <r>
    <s v="6cYx8rBh13laBDAzvD7VrH"/>
    <x v="184"/>
    <s v="Oil &amp; Water"/>
    <s v="Same For You"/>
    <x v="1"/>
    <n v="45"/>
    <n v="36.228833333333334"/>
    <n v="217373"/>
    <x v="0"/>
    <b v="0"/>
    <s v="Moderate"/>
    <n v="0.63500000000000001"/>
    <x v="0"/>
    <n v="0.433"/>
    <n v="11"/>
    <n v="-7.6820000000000004"/>
    <n v="0"/>
    <n v="2.9000000000000001E-2"/>
    <n v="0.86"/>
    <n v="0.43"/>
    <n v="8.77E-2"/>
    <n v="0.48899999999999999"/>
    <n v="130.11099999999999"/>
    <n v="4"/>
    <s v="acoustic"/>
  </r>
  <r>
    <s v="1jUyxF7NmNXGlZQDVw40O8"/>
    <x v="185"/>
    <s v="2U (Acoustic Version)"/>
    <s v="2U - Acoustic Version"/>
    <x v="1"/>
    <n v="56"/>
    <n v="34.683666666666667"/>
    <n v="208102"/>
    <x v="0"/>
    <b v="0"/>
    <s v="Moderate"/>
    <n v="0.65700000000000003"/>
    <x v="1"/>
    <n v="0.192"/>
    <n v="10"/>
    <n v="-13.108000000000001"/>
    <n v="0"/>
    <n v="3.6499999999999998E-2"/>
    <n v="0.89400000000000002"/>
    <n v="0"/>
    <n v="0.157"/>
    <n v="0.30499999999999999"/>
    <n v="130.08699999999999"/>
    <n v="4"/>
    <s v="acoustic"/>
  </r>
  <r>
    <s v="4G8wt3fUBpgBjI35TBF2eQ"/>
    <x v="60"/>
    <s v="Elephants...Teeth Sinking Into Heart (Standard Version)"/>
    <s v="Duet"/>
    <x v="1"/>
    <n v="43"/>
    <n v="40.186666666666667"/>
    <n v="241120"/>
    <x v="0"/>
    <b v="0"/>
    <s v="Moderate"/>
    <n v="0.45900000000000002"/>
    <x v="1"/>
    <n v="0.14000000000000001"/>
    <n v="9"/>
    <n v="-15.481999999999999"/>
    <n v="1"/>
    <n v="3.6700000000000003E-2"/>
    <n v="0.89500000000000002"/>
    <n v="5.6499999999999996E-3"/>
    <n v="0.13800000000000001"/>
    <n v="0.14599999999999999"/>
    <n v="128.904"/>
    <n v="4"/>
    <s v="acoustic"/>
  </r>
  <r>
    <s v="4eSOx2FzrVXpKmtssY59LB"/>
    <x v="186"/>
    <s v="I'll Say I Do"/>
    <s v="I'll Say I Do"/>
    <x v="3"/>
    <n v="39"/>
    <n v="39.166666666666664"/>
    <n v="235000"/>
    <x v="0"/>
    <b v="0"/>
    <s v="Low"/>
    <n v="0.39100000000000001"/>
    <x v="1"/>
    <n v="0.31"/>
    <n v="7"/>
    <n v="-8.7059999999999995"/>
    <n v="1"/>
    <n v="2.6800000000000001E-2"/>
    <n v="0.61399999999999999"/>
    <s v="3.6e-06"/>
    <n v="0.1"/>
    <n v="0.29499999999999998"/>
    <n v="83.46"/>
    <n v="4"/>
    <s v="acoustic"/>
  </r>
  <r>
    <s v="0YhsOegsemgmT7ZHdWheUy"/>
    <x v="36"/>
    <s v="Anyone"/>
    <s v="Anyone"/>
    <x v="1"/>
    <n v="53"/>
    <n v="28.794333333333334"/>
    <n v="172766"/>
    <x v="0"/>
    <b v="0"/>
    <s v="Low"/>
    <n v="0.371"/>
    <x v="1"/>
    <n v="0.20799999999999999"/>
    <n v="11"/>
    <n v="-13.167"/>
    <n v="1"/>
    <n v="4.6199999999999998E-2"/>
    <n v="0.91200000000000003"/>
    <n v="0"/>
    <n v="0.105"/>
    <n v="0.309"/>
    <n v="199.80500000000001"/>
    <n v="4"/>
    <s v="acoustic"/>
  </r>
  <r>
    <s v="1WSF2SjtfkV8LjTlF8uCZH"/>
    <x v="41"/>
    <s v="English Rain"/>
    <s v="Start of Time"/>
    <x v="1"/>
    <n v="45"/>
    <n v="39.975833333333334"/>
    <n v="239855"/>
    <x v="0"/>
    <b v="0"/>
    <s v="Moderate"/>
    <n v="0.45300000000000001"/>
    <x v="0"/>
    <n v="0.46100000000000002"/>
    <n v="0"/>
    <n v="-9.3279999999999994"/>
    <n v="0"/>
    <n v="3.2899999999999999E-2"/>
    <n v="0.16500000000000001"/>
    <n v="0"/>
    <n v="0.109"/>
    <n v="8.4400000000000003E-2"/>
    <n v="106.84"/>
    <n v="5"/>
    <s v="acoustic"/>
  </r>
  <r>
    <s v="6pTZ8Oy1xGKGCE4saVScoy"/>
    <x v="10"/>
    <s v="In The Mood For Love"/>
    <s v="Give Me Your Forever"/>
    <x v="3"/>
    <n v="32"/>
    <n v="40.799999999999997"/>
    <n v="244800"/>
    <x v="0"/>
    <b v="0"/>
    <s v="Moderate"/>
    <n v="0.627"/>
    <x v="1"/>
    <n v="0.36299999999999999"/>
    <n v="8"/>
    <n v="-8.1270000000000007"/>
    <n v="1"/>
    <n v="2.9100000000000001E-2"/>
    <n v="0.27900000000000003"/>
    <n v="0"/>
    <n v="9.2799999999999994E-2"/>
    <n v="0.30099999999999999"/>
    <n v="99.905000000000001"/>
    <n v="4"/>
    <s v="acoustic"/>
  </r>
  <r>
    <s v="4efRaNW2VgDf3pjbm8y4tr"/>
    <x v="36"/>
    <s v="Heat Waves"/>
    <s v="Heat Waves"/>
    <x v="1"/>
    <n v="53"/>
    <n v="23.547666666666668"/>
    <n v="141286"/>
    <x v="0"/>
    <b v="0"/>
    <s v="Very Danceable"/>
    <n v="0.70599999999999996"/>
    <x v="1"/>
    <n v="0.248"/>
    <n v="11"/>
    <n v="-12.724"/>
    <n v="1"/>
    <n v="3.8600000000000002E-2"/>
    <n v="0.879"/>
    <n v="0"/>
    <n v="0.10100000000000001"/>
    <n v="0.40100000000000002"/>
    <n v="125.515"/>
    <n v="4"/>
    <s v="acoustic"/>
  </r>
  <r>
    <s v="4khjcb6Mpegp1N596VVyf6"/>
    <x v="185"/>
    <s v="There She Goes"/>
    <s v="There She Goes"/>
    <x v="1"/>
    <n v="54"/>
    <n v="24.252333333333333"/>
    <n v="145514"/>
    <x v="0"/>
    <b v="0"/>
    <s v="Very Danceable"/>
    <n v="0.72399999999999998"/>
    <x v="1"/>
    <n v="0.28000000000000003"/>
    <n v="9"/>
    <n v="-12.788"/>
    <n v="1"/>
    <n v="3.0300000000000001E-2"/>
    <n v="0.755"/>
    <n v="0"/>
    <n v="0.32600000000000001"/>
    <n v="0.52700000000000002"/>
    <n v="106.96599999999999"/>
    <n v="4"/>
    <s v="acoustic"/>
  </r>
  <r>
    <s v="1WiVvolTPvAsVOd64HZi4X"/>
    <x v="55"/>
    <s v="Wells"/>
    <s v="Wells"/>
    <x v="1"/>
    <n v="51"/>
    <n v="37.231000000000002"/>
    <n v="223386"/>
    <x v="0"/>
    <b v="0"/>
    <s v="Moderate"/>
    <n v="0.53500000000000003"/>
    <x v="0"/>
    <n v="0.44400000000000001"/>
    <n v="6"/>
    <n v="-11.212"/>
    <n v="1"/>
    <n v="2.9100000000000001E-2"/>
    <n v="0.66900000000000004"/>
    <n v="2.7799999999999998E-2"/>
    <n v="0.104"/>
    <n v="0.217"/>
    <n v="83.99"/>
    <n v="4"/>
    <s v="acoustic"/>
  </r>
  <r>
    <s v="1YnLthg0HOs8YTzgN5hVh2"/>
    <x v="115"/>
    <s v="God Only Knows"/>
    <s v="God Only Knows"/>
    <x v="1"/>
    <n v="55"/>
    <n v="22.757000000000001"/>
    <n v="136542"/>
    <x v="0"/>
    <b v="0"/>
    <s v="Moderate"/>
    <n v="0.65800000000000003"/>
    <x v="1"/>
    <n v="0.125"/>
    <n v="8"/>
    <n v="-15.901"/>
    <n v="1"/>
    <n v="3.2300000000000002E-2"/>
    <n v="0.877"/>
    <n v="0"/>
    <n v="0.28699999999999998"/>
    <n v="0.50700000000000001"/>
    <n v="106.68600000000001"/>
    <n v="4"/>
    <s v="acoustic"/>
  </r>
  <r>
    <s v="0N7UyDRbyHe2L63ilYDcRK"/>
    <x v="15"/>
    <s v="Afterglow"/>
    <s v="Afterglow"/>
    <x v="3"/>
    <n v="33"/>
    <n v="35.226333333333336"/>
    <n v="211358"/>
    <x v="0"/>
    <b v="0"/>
    <s v="Very Danceable"/>
    <n v="0.71099999999999997"/>
    <x v="1"/>
    <n v="0.16800000000000001"/>
    <n v="0"/>
    <n v="-16.504000000000001"/>
    <n v="1"/>
    <n v="3.6700000000000003E-2"/>
    <n v="0.86799999999999999"/>
    <s v="1.99e-05"/>
    <n v="0.114"/>
    <n v="0.29899999999999999"/>
    <n v="109.937"/>
    <n v="4"/>
    <s v="acoustic"/>
  </r>
  <r>
    <s v="5EndcDV7pcbLO4jE2GBZwC"/>
    <x v="30"/>
    <s v="Montage Of Heck: The Home Recordings (Deluxe Soundtrack)"/>
    <s v="Burn The Rain"/>
    <x v="1"/>
    <n v="55"/>
    <n v="12.742166666666666"/>
    <n v="76453"/>
    <x v="0"/>
    <b v="0"/>
    <s v="Moderate"/>
    <n v="0.504"/>
    <x v="0"/>
    <n v="0.41499999999999998"/>
    <n v="8"/>
    <n v="-19.308"/>
    <n v="0"/>
    <n v="0.121"/>
    <n v="0.879"/>
    <n v="0.49399999999999999"/>
    <n v="0.35"/>
    <n v="0.626"/>
    <n v="114.26300000000001"/>
    <n v="4"/>
    <s v="acoustic"/>
  </r>
  <r>
    <s v="0MjXRAftpVBuNGYsNV1obJ"/>
    <x v="93"/>
    <s v="Just Love"/>
    <s v="Already Mine"/>
    <x v="1"/>
    <n v="46"/>
    <n v="45.521000000000001"/>
    <n v="273126"/>
    <x v="0"/>
    <b v="0"/>
    <s v="Low"/>
    <n v="0.309"/>
    <x v="1"/>
    <n v="0.17499999999999999"/>
    <n v="8"/>
    <n v="-11.816000000000001"/>
    <n v="1"/>
    <n v="3.3099999999999997E-2"/>
    <n v="0.91300000000000003"/>
    <s v="6.15e-05"/>
    <n v="0.11799999999999999"/>
    <n v="0.19800000000000001"/>
    <n v="155.69"/>
    <n v="3"/>
    <s v="acoustic"/>
  </r>
  <r>
    <s v="2O16qeSdWeec3Kte6TKW9p"/>
    <x v="162"/>
    <s v="ã‚ªã‚¢ã‚·ã‚¹"/>
    <s v="ãã¿ã¯ã¼ãã®ã¨ã‚‚ã ã¡"/>
    <x v="3"/>
    <n v="30"/>
    <n v="44.789333333333332"/>
    <n v="268736"/>
    <x v="0"/>
    <b v="0"/>
    <s v="Moderate"/>
    <n v="0.628"/>
    <x v="1"/>
    <n v="2.7E-2"/>
    <n v="11"/>
    <n v="-13.64"/>
    <n v="0"/>
    <n v="4.8500000000000001E-2"/>
    <n v="0.94399999999999995"/>
    <n v="5.9999999999999995E-4"/>
    <n v="9.0899999999999995E-2"/>
    <n v="0.20300000000000001"/>
    <n v="122.00700000000001"/>
    <n v="4"/>
    <s v="acoustic"/>
  </r>
  <r>
    <s v="1W5j84OLhShyEIJEwaLzaU"/>
    <x v="41"/>
    <s v="Never Be the Same"/>
    <s v="Never Be the Same"/>
    <x v="1"/>
    <n v="46"/>
    <n v="34.276333333333334"/>
    <n v="205658"/>
    <x v="0"/>
    <b v="0"/>
    <s v="Moderate"/>
    <n v="0.49"/>
    <x v="0"/>
    <n v="0.67400000000000004"/>
    <n v="1"/>
    <n v="-7.2759999999999998"/>
    <n v="1"/>
    <n v="3.2199999999999999E-2"/>
    <n v="0.19"/>
    <n v="1.4300000000000001E-4"/>
    <n v="6.3399999999999998E-2"/>
    <n v="0.28799999999999998"/>
    <n v="122.807"/>
    <n v="4"/>
    <s v="acoustic"/>
  </r>
  <r>
    <s v="3KAQ4xe2sR6IiltZw8HSA5"/>
    <x v="187"/>
    <s v="You and Me for Now"/>
    <s v="All Is Well"/>
    <x v="0"/>
    <n v="60"/>
    <n v="42.78"/>
    <n v="256680"/>
    <x v="0"/>
    <b v="0"/>
    <s v="Low"/>
    <n v="0.316"/>
    <x v="0"/>
    <n v="0.41299999999999998"/>
    <n v="11"/>
    <n v="-12.215999999999999"/>
    <n v="1"/>
    <n v="3.3399999999999999E-2"/>
    <n v="0.85599999999999998"/>
    <n v="2.4499999999999999E-3"/>
    <n v="0.14299999999999999"/>
    <n v="0.245"/>
    <n v="155.69"/>
    <n v="4"/>
    <s v="acoustic"/>
  </r>
  <r>
    <s v="60wxK3idlzc3lykP8cYZ2l"/>
    <x v="41"/>
    <s v="Dear Happy"/>
    <s v="My Mistake"/>
    <x v="1"/>
    <n v="51"/>
    <n v="44.231000000000002"/>
    <n v="265386"/>
    <x v="0"/>
    <b v="0"/>
    <s v="Moderate"/>
    <n v="0.47"/>
    <x v="1"/>
    <n v="0.27100000000000002"/>
    <n v="6"/>
    <n v="-7.6360000000000001"/>
    <n v="1"/>
    <n v="3.4200000000000001E-2"/>
    <n v="0.79900000000000004"/>
    <n v="0"/>
    <n v="0.11899999999999999"/>
    <n v="9.4299999999999995E-2"/>
    <n v="145.90199999999999"/>
    <n v="4"/>
    <s v="acoustic"/>
  </r>
  <r>
    <s v="2O7FC4XbIrJ6Ib8bsq0FYC"/>
    <x v="93"/>
    <s v="Us"/>
    <s v="Near Or Far"/>
    <x v="1"/>
    <n v="47"/>
    <n v="36.551000000000002"/>
    <n v="219306"/>
    <x v="0"/>
    <b v="0"/>
    <s v="Moderate"/>
    <n v="0.51500000000000001"/>
    <x v="1"/>
    <n v="0.317"/>
    <n v="9"/>
    <n v="-10.286"/>
    <n v="1"/>
    <n v="2.8299999999999999E-2"/>
    <n v="0.81599999999999995"/>
    <n v="0"/>
    <n v="9.7299999999999998E-2"/>
    <n v="0.51200000000000001"/>
    <n v="79.91"/>
    <n v="4"/>
    <s v="acoustic"/>
  </r>
  <r>
    <s v="1CYBnHYYbOAsuDCGa0zrw0"/>
    <x v="40"/>
    <s v="Without a Light"/>
    <s v="Without a Light"/>
    <x v="0"/>
    <n v="60"/>
    <n v="23.7"/>
    <n v="142200"/>
    <x v="0"/>
    <b v="0"/>
    <s v="Moderate"/>
    <n v="0.49299999999999999"/>
    <x v="0"/>
    <n v="0.435"/>
    <n v="7"/>
    <n v="-12.334"/>
    <n v="1"/>
    <n v="4.2299999999999997E-2"/>
    <n v="0.65600000000000003"/>
    <n v="3.2699999999999998E-4"/>
    <n v="0.11799999999999999"/>
    <n v="0.48499999999999999"/>
    <n v="87.951999999999998"/>
    <n v="4"/>
    <s v="acoustic"/>
  </r>
  <r>
    <s v="1ytsxlw6P6gsCc3RrYweyj"/>
    <x v="61"/>
    <s v="Wide Awake"/>
    <s v="Lonely With Me"/>
    <x v="1"/>
    <n v="51"/>
    <n v="36.468833333333336"/>
    <n v="218813"/>
    <x v="0"/>
    <b v="0"/>
    <s v="Moderate"/>
    <n v="0.58899999999999997"/>
    <x v="2"/>
    <n v="0.80900000000000005"/>
    <n v="7"/>
    <n v="-5.6"/>
    <n v="1"/>
    <n v="2.8299999999999999E-2"/>
    <n v="4.7899999999999998E-2"/>
    <n v="0"/>
    <n v="0.11600000000000001"/>
    <n v="0.628"/>
    <n v="87.013000000000005"/>
    <n v="4"/>
    <s v="acoustic"/>
  </r>
  <r>
    <s v="37bc0lXXN8Udi7IPwL58Hn"/>
    <x v="188"/>
    <s v="Cover Sessions, Vol. 4"/>
    <s v="Time After Time"/>
    <x v="0"/>
    <n v="60"/>
    <n v="37.041666666666664"/>
    <n v="222250"/>
    <x v="0"/>
    <b v="0"/>
    <s v="Low"/>
    <n v="0.313"/>
    <x v="1"/>
    <n v="0.32100000000000001"/>
    <n v="8"/>
    <n v="-8.7129999999999992"/>
    <n v="1"/>
    <n v="3.5200000000000002E-2"/>
    <n v="0.746"/>
    <n v="0"/>
    <n v="9.4799999999999995E-2"/>
    <n v="0.24299999999999999"/>
    <n v="53.844999999999999"/>
    <n v="4"/>
    <s v="acoustic"/>
  </r>
  <r>
    <s v="5IGYPdHMSG4PLXDS9LDPJS"/>
    <x v="189"/>
    <s v="Eastmountainsouth"/>
    <s v="So Are You To Me"/>
    <x v="1"/>
    <n v="52"/>
    <n v="19.626666666666665"/>
    <n v="117760"/>
    <x v="0"/>
    <b v="0"/>
    <s v="Low"/>
    <n v="0.30199999999999999"/>
    <x v="1"/>
    <n v="7.8299999999999995E-2"/>
    <n v="2"/>
    <n v="-14.968"/>
    <n v="1"/>
    <n v="3.2500000000000001E-2"/>
    <n v="0.95599999999999996"/>
    <s v="9.88e-05"/>
    <n v="0.12"/>
    <n v="0.23100000000000001"/>
    <n v="140.48500000000001"/>
    <n v="5"/>
    <s v="acoustic"/>
  </r>
  <r>
    <s v="53iFMaNUXn6Oj8hUIKSO5a"/>
    <x v="190"/>
    <s v="A Face Like Mine"/>
    <s v="My Arms Were Always Around You"/>
    <x v="1"/>
    <n v="54"/>
    <n v="33.466666666666669"/>
    <n v="200800"/>
    <x v="0"/>
    <b v="0"/>
    <s v="Moderate"/>
    <n v="0.64300000000000002"/>
    <x v="0"/>
    <n v="0.436"/>
    <n v="1"/>
    <n v="-12.244999999999999"/>
    <n v="1"/>
    <n v="2.7300000000000001E-2"/>
    <n v="0.72399999999999998"/>
    <n v="0.45900000000000002"/>
    <n v="0.11"/>
    <n v="0.42199999999999999"/>
    <n v="91.484999999999999"/>
    <n v="4"/>
    <s v="acoustic"/>
  </r>
  <r>
    <s v="68KCwQ2PNKNT17sEx32DEG"/>
    <x v="42"/>
    <s v="Barton Hollow"/>
    <s v="Dance Me to the End of Love - Bonus"/>
    <x v="1"/>
    <n v="52"/>
    <n v="30.842166666666667"/>
    <n v="185053"/>
    <x v="0"/>
    <b v="0"/>
    <s v="Moderate"/>
    <n v="0.48199999999999998"/>
    <x v="1"/>
    <n v="0.17799999999999999"/>
    <n v="2"/>
    <n v="-11.141"/>
    <n v="0"/>
    <n v="2.92E-2"/>
    <n v="0.84299999999999997"/>
    <s v="2.46e-06"/>
    <n v="0.15"/>
    <n v="0.29799999999999999"/>
    <n v="110.128"/>
    <n v="4"/>
    <s v="acoustic"/>
  </r>
  <r>
    <s v="27wq82gy6a868oA5HNLRGv"/>
    <x v="21"/>
    <s v="Into The Wild (Music For The Motion Picture)"/>
    <s v="Photographs"/>
    <x v="1"/>
    <n v="51"/>
    <n v="10.068833333333334"/>
    <n v="60413"/>
    <x v="0"/>
    <b v="0"/>
    <s v="Moderate"/>
    <n v="0.53900000000000003"/>
    <x v="1"/>
    <n v="0.35299999999999998"/>
    <n v="3"/>
    <n v="-10.191000000000001"/>
    <n v="1"/>
    <n v="4.6399999999999997E-2"/>
    <n v="0.57099999999999995"/>
    <n v="0.626"/>
    <n v="8.77E-2"/>
    <n v="0.32100000000000001"/>
    <n v="54.570999999999998"/>
    <n v="4"/>
    <s v="acoustic"/>
  </r>
  <r>
    <s v="24M6MHeugm1sHHNzCP5eV4"/>
    <x v="191"/>
    <s v="Bossa Best"/>
    <s v="Baby Now That I Found You"/>
    <x v="3"/>
    <n v="30"/>
    <n v="40.802166666666665"/>
    <n v="244813"/>
    <x v="0"/>
    <b v="0"/>
    <s v="Very Danceable"/>
    <n v="0.70699999999999996"/>
    <x v="0"/>
    <n v="0.53100000000000003"/>
    <n v="2"/>
    <n v="-7.21"/>
    <n v="1"/>
    <n v="2.4500000000000001E-2"/>
    <n v="0.85499999999999998"/>
    <n v="1.8200000000000001E-4"/>
    <n v="0.17499999999999999"/>
    <n v="0.49"/>
    <n v="107.994"/>
    <n v="4"/>
    <s v="acoustic"/>
  </r>
  <r>
    <s v="5DZVpQguB5TGP3MdkN3JSP"/>
    <x v="191"/>
    <s v="Bossa Best"/>
    <s v="Right Here Waiting"/>
    <x v="3"/>
    <n v="30"/>
    <n v="28.288833333333333"/>
    <n v="169733"/>
    <x v="0"/>
    <b v="0"/>
    <s v="Very Danceable"/>
    <n v="0.70699999999999996"/>
    <x v="0"/>
    <n v="0.46700000000000003"/>
    <n v="2"/>
    <n v="-7.5110000000000001"/>
    <n v="1"/>
    <n v="3.6700000000000003E-2"/>
    <n v="0.83199999999999996"/>
    <s v="5.33e-06"/>
    <n v="0.114"/>
    <n v="0.47799999999999998"/>
    <n v="110.096"/>
    <n v="4"/>
    <s v="acoustic"/>
  </r>
  <r>
    <s v="2HUZVffVPXvqnrml0gXggp"/>
    <x v="192"/>
    <s v="Moanin' In The Moonlight"/>
    <s v="Smokestack Lightnin'"/>
    <x v="0"/>
    <n v="62"/>
    <n v="31.4"/>
    <n v="188400"/>
    <x v="0"/>
    <b v="0"/>
    <s v="Moderate"/>
    <n v="0.66100000000000003"/>
    <x v="1"/>
    <n v="0.34200000000000003"/>
    <n v="9"/>
    <n v="-16.361000000000001"/>
    <n v="0"/>
    <n v="4.2999999999999997E-2"/>
    <n v="0.84399999999999997"/>
    <n v="1.2799999999999999E-4"/>
    <n v="0.26"/>
    <n v="0.58799999999999997"/>
    <n v="146.11799999999999"/>
    <n v="4"/>
    <s v="acoustic"/>
  </r>
  <r>
    <s v="2PTzfXh5Ut3hjRrWGyafz6"/>
    <x v="81"/>
    <s v="No More Doubt"/>
    <s v="Passenger Seat"/>
    <x v="0"/>
    <n v="64"/>
    <n v="45.74666666666667"/>
    <n v="274480"/>
    <x v="0"/>
    <b v="0"/>
    <s v="Moderate"/>
    <n v="0.52300000000000002"/>
    <x v="0"/>
    <n v="0.55400000000000005"/>
    <n v="7"/>
    <n v="-7.5960000000000001"/>
    <n v="1"/>
    <n v="3.0300000000000001E-2"/>
    <n v="0.749"/>
    <s v="3.29e-06"/>
    <n v="0.32300000000000001"/>
    <n v="0.76900000000000002"/>
    <n v="152.97900000000001"/>
    <n v="4"/>
    <s v="acoustic"/>
  </r>
  <r>
    <s v="5MTsZG10E0hTvAkdioyPnw"/>
    <x v="193"/>
    <s v="Feels Like Rain"/>
    <s v="Feels Like Rain (feat. Bonnie Raitt)"/>
    <x v="1"/>
    <n v="57"/>
    <n v="45.87766666666667"/>
    <n v="275266"/>
    <x v="0"/>
    <b v="0"/>
    <s v="Moderate"/>
    <n v="0.57199999999999995"/>
    <x v="1"/>
    <n v="0.34799999999999998"/>
    <n v="0"/>
    <n v="-13.454000000000001"/>
    <n v="1"/>
    <n v="2.9399999999999999E-2"/>
    <n v="0.44"/>
    <n v="7.2099999999999996E-4"/>
    <n v="0.23499999999999999"/>
    <n v="0.34"/>
    <n v="73.304000000000002"/>
    <n v="4"/>
    <s v="acoustic"/>
  </r>
  <r>
    <s v="2AN3wNGUW0IgzfuurtVEDS"/>
    <x v="194"/>
    <s v="The Best of Mance Lipscomb"/>
    <s v="Sugar Babe"/>
    <x v="3"/>
    <n v="31"/>
    <n v="20.733333333333334"/>
    <n v="124400"/>
    <x v="0"/>
    <b v="0"/>
    <s v="Moderate"/>
    <n v="0.55400000000000005"/>
    <x v="0"/>
    <n v="0.4"/>
    <n v="3"/>
    <n v="-11.805999999999999"/>
    <n v="1"/>
    <n v="6.9900000000000004E-2"/>
    <n v="0.97899999999999998"/>
    <n v="0.34799999999999998"/>
    <n v="0.10199999999999999"/>
    <n v="0.54700000000000004"/>
    <n v="101.191"/>
    <n v="4"/>
    <s v="acoustic"/>
  </r>
  <r>
    <s v="7jIAttgQTpLDoNtykIQXjH"/>
    <x v="195"/>
    <s v="Violent Femmes"/>
    <s v="Blister In The Sun"/>
    <x v="0"/>
    <n v="71"/>
    <n v="24.284333333333333"/>
    <n v="145706"/>
    <x v="0"/>
    <b v="0"/>
    <s v="Very Danceable"/>
    <n v="0.72599999999999998"/>
    <x v="0"/>
    <n v="0.53700000000000003"/>
    <n v="0"/>
    <n v="-8.8960000000000008"/>
    <n v="1"/>
    <n v="0.114"/>
    <n v="0.316"/>
    <n v="0"/>
    <n v="7.0699999999999999E-2"/>
    <n v="0.88200000000000001"/>
    <n v="96.888999999999996"/>
    <n v="4"/>
    <s v="acoustic"/>
  </r>
  <r>
    <s v="353rT3h7ABEWWBe6Hr7EZD"/>
    <x v="100"/>
    <s v="The Oogle Deathmachine"/>
    <s v="Little Blue Pills, Pt. 2"/>
    <x v="3"/>
    <n v="31"/>
    <n v="44.199166666666663"/>
    <n v="265195"/>
    <x v="0"/>
    <b v="1"/>
    <s v="Moderate"/>
    <n v="0.501"/>
    <x v="0"/>
    <n v="0.67200000000000004"/>
    <n v="2"/>
    <n v="-10.225"/>
    <n v="0"/>
    <n v="6.3700000000000007E-2"/>
    <n v="0.67400000000000004"/>
    <n v="1.6200000000000001E-4"/>
    <n v="6.7400000000000002E-2"/>
    <n v="0.96099999999999997"/>
    <n v="122.041"/>
    <n v="4"/>
    <s v="acoustic"/>
  </r>
  <r>
    <s v="0GgFpUEQzr5RuDZC768g0k"/>
    <x v="196"/>
    <s v="Paano Ang Simbang Gabi (Kung 'Di Ka Katabi)"/>
    <s v="Paano Ang Simbang Gabi - Kung 'Di Ka Katabi"/>
    <x v="3"/>
    <n v="30"/>
    <n v="39.286999999999999"/>
    <n v="235722"/>
    <x v="0"/>
    <b v="0"/>
    <s v="Moderate"/>
    <n v="0.505"/>
    <x v="0"/>
    <n v="0.46200000000000002"/>
    <n v="6"/>
    <n v="-5.6920000000000002"/>
    <n v="1"/>
    <n v="2.7099999999999999E-2"/>
    <n v="0.623"/>
    <n v="0"/>
    <n v="0.113"/>
    <n v="0.113"/>
    <n v="139.91399999999999"/>
    <n v="4"/>
    <s v="acoustic"/>
  </r>
  <r>
    <s v="5hhhrZMKz1NEZM7jRWufbf"/>
    <x v="144"/>
    <s v="West Coast vs. Wessex"/>
    <s v="Bob"/>
    <x v="3"/>
    <n v="30"/>
    <n v="31.492000000000001"/>
    <n v="188952"/>
    <x v="0"/>
    <b v="1"/>
    <s v="Moderate"/>
    <n v="0.41499999999999998"/>
    <x v="2"/>
    <n v="0.71299999999999997"/>
    <n v="0"/>
    <n v="-5.5289999999999999"/>
    <n v="1"/>
    <n v="3.4500000000000003E-2"/>
    <n v="5.5500000000000001E-2"/>
    <n v="0"/>
    <n v="8.1100000000000005E-2"/>
    <n v="0.36099999999999999"/>
    <n v="83.69"/>
    <n v="3"/>
    <s v="acoustic"/>
  </r>
  <r>
    <s v="4zESVuAPxaC9bqQKjiWgH6"/>
    <x v="197"/>
    <s v="Have a Great Life."/>
    <s v="Psycho"/>
    <x v="3"/>
    <n v="30"/>
    <n v="40.208333333333336"/>
    <n v="241250"/>
    <x v="0"/>
    <b v="0"/>
    <s v="Moderate"/>
    <n v="0.45800000000000002"/>
    <x v="2"/>
    <n v="0.82299999999999995"/>
    <n v="6"/>
    <n v="-4.2679999999999998"/>
    <n v="0"/>
    <n v="6.1600000000000002E-2"/>
    <n v="0.38200000000000001"/>
    <n v="0"/>
    <n v="0.20499999999999999"/>
    <n v="0.42199999999999999"/>
    <n v="131.63800000000001"/>
    <n v="4"/>
    <s v="acoustic"/>
  </r>
  <r>
    <s v="7EcFRiCKqijYsuA5UbNnQZ"/>
    <x v="144"/>
    <s v="West Coast vs. Wessex"/>
    <s v="Perfect Government"/>
    <x v="3"/>
    <n v="30"/>
    <n v="24.354833333333332"/>
    <n v="146129"/>
    <x v="0"/>
    <b v="1"/>
    <s v="Moderate"/>
    <n v="0.47399999999999998"/>
    <x v="2"/>
    <n v="0.876"/>
    <n v="7"/>
    <n v="-5.0519999999999996"/>
    <n v="1"/>
    <n v="3.4099999999999998E-2"/>
    <n v="2.7699999999999999E-3"/>
    <s v="6.15e-06"/>
    <n v="0.39"/>
    <n v="0.60699999999999998"/>
    <n v="91.947999999999993"/>
    <n v="4"/>
    <s v="acoustic"/>
  </r>
  <r>
    <s v="4WbTMyywJtvUNhmVKa0oSM"/>
    <x v="143"/>
    <s v="Unholy Hymns"/>
    <s v="The Fear"/>
    <x v="3"/>
    <n v="30"/>
    <n v="26.8675"/>
    <n v="161205"/>
    <x v="0"/>
    <b v="1"/>
    <s v="Moderate"/>
    <n v="0.44400000000000001"/>
    <x v="0"/>
    <n v="0.67400000000000004"/>
    <n v="5"/>
    <n v="-6.6749999999999998"/>
    <n v="1"/>
    <n v="3.4099999999999998E-2"/>
    <n v="0.58599999999999997"/>
    <n v="1.47E-4"/>
    <n v="0.109"/>
    <n v="0.69799999999999995"/>
    <n v="111.377"/>
    <n v="3"/>
    <s v="acoustic"/>
  </r>
  <r>
    <s v="0R7EWhquaAICmyE5MZqt3q"/>
    <x v="58"/>
    <s v="The Joy of Music"/>
    <s v="Living My Best Life"/>
    <x v="1"/>
    <n v="59"/>
    <n v="35.868833333333335"/>
    <n v="215213"/>
    <x v="0"/>
    <b v="0"/>
    <s v="Moderate"/>
    <n v="0.56599999999999995"/>
    <x v="2"/>
    <n v="0.73299999999999998"/>
    <n v="4"/>
    <n v="-5.3019999999999996"/>
    <n v="1"/>
    <n v="6.9900000000000004E-2"/>
    <n v="8.3000000000000004E-2"/>
    <s v="1.55e-06"/>
    <n v="0.36199999999999999"/>
    <n v="0.63600000000000001"/>
    <n v="178.828"/>
    <n v="4"/>
    <s v="acoustic"/>
  </r>
  <r>
    <s v="5u2HaXFymnYNePtwI5bU3t"/>
    <x v="144"/>
    <s v="FTHC (Deluxe)"/>
    <s v="Haven't Been Doing So Well"/>
    <x v="3"/>
    <n v="30"/>
    <n v="32.802166666666665"/>
    <n v="196813"/>
    <x v="0"/>
    <b v="0"/>
    <s v="Low"/>
    <n v="0.36699999999999999"/>
    <x v="2"/>
    <n v="0.89200000000000002"/>
    <n v="2"/>
    <n v="-3.91"/>
    <n v="1"/>
    <n v="0.13300000000000001"/>
    <n v="1.2E-4"/>
    <n v="2.6800000000000001E-4"/>
    <n v="0.27600000000000002"/>
    <n v="0.79900000000000004"/>
    <n v="81.927999999999997"/>
    <n v="4"/>
    <s v="acoustic"/>
  </r>
  <r>
    <s v="79keCNa2NAa4xMInUQCATJ"/>
    <x v="143"/>
    <s v="Unholy Hymns"/>
    <s v="The Legend of Olog-hai, Pt. 2"/>
    <x v="3"/>
    <n v="30"/>
    <n v="30.702833333333334"/>
    <n v="184217"/>
    <x v="0"/>
    <b v="1"/>
    <s v="Low"/>
    <n v="0.25800000000000001"/>
    <x v="2"/>
    <n v="0.72899999999999998"/>
    <n v="4"/>
    <n v="-6.4569999999999999"/>
    <n v="0"/>
    <n v="3.9800000000000002E-2"/>
    <n v="0.39500000000000002"/>
    <n v="4.4200000000000003E-3"/>
    <n v="0.13100000000000001"/>
    <n v="0.46200000000000002"/>
    <n v="116.943"/>
    <n v="3"/>
    <s v="acoustic"/>
  </r>
  <r>
    <s v="61X73CJcpwGIxgQgKEXbw0"/>
    <x v="22"/>
    <s v="In These Silent Days"/>
    <s v="You and Me On The Rock (feat. Lucius)"/>
    <x v="0"/>
    <n v="63"/>
    <n v="38.349666666666664"/>
    <n v="230098"/>
    <x v="0"/>
    <b v="0"/>
    <s v="Moderate"/>
    <n v="0.56799999999999995"/>
    <x v="0"/>
    <n v="0.68600000000000005"/>
    <n v="1"/>
    <n v="-6.6349999999999998"/>
    <n v="1"/>
    <n v="3.3000000000000002E-2"/>
    <n v="0.15"/>
    <s v="1.81e-06"/>
    <n v="8.8099999999999998E-2"/>
    <n v="0.72499999999999998"/>
    <n v="172.07499999999999"/>
    <n v="4"/>
    <s v="acoust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D7FE74-971E-40C1-AEF1-772812B92D05}"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4:H6" firstHeaderRow="1" firstDataRow="1" firstDataCol="1"/>
  <pivotFields count="25">
    <pivotField dataField="1" showAll="0"/>
    <pivotField showAll="0"/>
    <pivotField showAll="0"/>
    <pivotField showAll="0"/>
    <pivotField showAll="0"/>
    <pivotField showAll="0"/>
    <pivotField numFmtId="2"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track_id" fld="0" subtotal="count" baseField="0" baseItem="0"/>
  </dataFields>
  <formats count="6">
    <format dxfId="84">
      <pivotArea type="all" dataOnly="0" outline="0" fieldPosition="0"/>
    </format>
    <format dxfId="85">
      <pivotArea outline="0" collapsedLevelsAreSubtotals="1" fieldPosition="0"/>
    </format>
    <format dxfId="86">
      <pivotArea field="8" type="button" dataOnly="0" labelOnly="1" outline="0" axis="axisRow" fieldPosition="0"/>
    </format>
    <format dxfId="87">
      <pivotArea dataOnly="0" labelOnly="1" fieldPosition="0">
        <references count="1">
          <reference field="8" count="0"/>
        </references>
      </pivotArea>
    </format>
    <format dxfId="88">
      <pivotArea dataOnly="0" labelOnly="1" grandRow="1" outline="0" fieldPosition="0"/>
    </format>
    <format dxfId="89">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F8583D-A26C-4E50-829B-957DA7933EC7}"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25">
    <pivotField showAll="0"/>
    <pivotField axis="axisRow" showAll="0" measureFilter="1" sortType="descending">
      <items count="199">
        <item x="108"/>
        <item x="38"/>
        <item x="6"/>
        <item x="33"/>
        <item x="183"/>
        <item x="27"/>
        <item x="73"/>
        <item x="110"/>
        <item x="172"/>
        <item x="104"/>
        <item x="119"/>
        <item x="151"/>
        <item x="98"/>
        <item x="74"/>
        <item x="25"/>
        <item x="129"/>
        <item x="15"/>
        <item x="80"/>
        <item x="12"/>
        <item x="92"/>
        <item x="105"/>
        <item x="71"/>
        <item x="146"/>
        <item x="28"/>
        <item x="50"/>
        <item x="187"/>
        <item x="113"/>
        <item x="36"/>
        <item x="177"/>
        <item x="170"/>
        <item x="58"/>
        <item x="1"/>
        <item x="156"/>
        <item x="45"/>
        <item x="16"/>
        <item x="75"/>
        <item x="106"/>
        <item x="44"/>
        <item x="17"/>
        <item x="161"/>
        <item x="188"/>
        <item x="97"/>
        <item x="65"/>
        <item x="123"/>
        <item x="20"/>
        <item x="22"/>
        <item x="18"/>
        <item x="186"/>
        <item x="141"/>
        <item x="163"/>
        <item x="193"/>
        <item x="76"/>
        <item x="43"/>
        <item x="32"/>
        <item x="66"/>
        <item x="54"/>
        <item x="4"/>
        <item x="13"/>
        <item x="134"/>
        <item x="185"/>
        <item x="11"/>
        <item x="153"/>
        <item x="102"/>
        <item x="180"/>
        <item x="100"/>
        <item x="182"/>
        <item x="79"/>
        <item x="94"/>
        <item x="196"/>
        <item x="40"/>
        <item x="189"/>
        <item x="21"/>
        <item x="39"/>
        <item x="120"/>
        <item x="64"/>
        <item x="140"/>
        <item x="149"/>
        <item x="35"/>
        <item x="144"/>
        <item x="83"/>
        <item x="139"/>
        <item x="41"/>
        <item x="46"/>
        <item x="0"/>
        <item x="103"/>
        <item x="166"/>
        <item x="128"/>
        <item x="162"/>
        <item x="197"/>
        <item x="23"/>
        <item x="57"/>
        <item x="192"/>
        <item x="147"/>
        <item x="37"/>
        <item x="137"/>
        <item x="2"/>
        <item x="150"/>
        <item x="112"/>
        <item x="167"/>
        <item x="107"/>
        <item x="7"/>
        <item x="8"/>
        <item x="99"/>
        <item x="152"/>
        <item x="56"/>
        <item x="131"/>
        <item x="48"/>
        <item x="135"/>
        <item x="181"/>
        <item x="78"/>
        <item x="90"/>
        <item x="155"/>
        <item x="130"/>
        <item x="68"/>
        <item x="55"/>
        <item x="176"/>
        <item x="121"/>
        <item x="169"/>
        <item x="85"/>
        <item x="3"/>
        <item x="115"/>
        <item x="49"/>
        <item x="117"/>
        <item x="19"/>
        <item x="30"/>
        <item x="14"/>
        <item x="184"/>
        <item x="122"/>
        <item x="158"/>
        <item x="194"/>
        <item x="160"/>
        <item x="132"/>
        <item x="87"/>
        <item x="145"/>
        <item x="179"/>
        <item x="127"/>
        <item x="59"/>
        <item x="157"/>
        <item x="51"/>
        <item x="53"/>
        <item x="96"/>
        <item x="148"/>
        <item x="101"/>
        <item x="165"/>
        <item x="47"/>
        <item x="124"/>
        <item x="24"/>
        <item x="61"/>
        <item x="190"/>
        <item x="116"/>
        <item x="114"/>
        <item x="77"/>
        <item x="60"/>
        <item x="142"/>
        <item x="95"/>
        <item x="52"/>
        <item x="164"/>
        <item x="168"/>
        <item x="138"/>
        <item x="26"/>
        <item x="109"/>
        <item x="9"/>
        <item x="29"/>
        <item x="136"/>
        <item x="81"/>
        <item x="173"/>
        <item x="62"/>
        <item x="191"/>
        <item x="84"/>
        <item x="118"/>
        <item x="174"/>
        <item x="143"/>
        <item x="42"/>
        <item x="67"/>
        <item x="125"/>
        <item x="111"/>
        <item x="82"/>
        <item x="86"/>
        <item x="31"/>
        <item x="70"/>
        <item x="88"/>
        <item x="178"/>
        <item x="159"/>
        <item x="34"/>
        <item x="72"/>
        <item x="63"/>
        <item x="126"/>
        <item x="5"/>
        <item x="93"/>
        <item x="195"/>
        <item x="171"/>
        <item x="154"/>
        <item x="89"/>
        <item x="10"/>
        <item x="91"/>
        <item x="133"/>
        <item x="69"/>
        <item x="17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1"/>
        <item h="1" x="2"/>
        <item h="1" x="3"/>
        <item x="0"/>
        <item t="default"/>
      </items>
    </pivotField>
    <pivotField dataField="1" showAll="0"/>
    <pivotField numFmtId="2" showAll="0"/>
    <pivotField showAll="0"/>
    <pivotField showAll="0">
      <items count="2">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83"/>
    </i>
    <i>
      <x v="123"/>
    </i>
    <i>
      <x v="2"/>
    </i>
    <i>
      <x v="189"/>
    </i>
    <i>
      <x v="101"/>
    </i>
    <i>
      <x v="136"/>
    </i>
    <i>
      <x v="193"/>
    </i>
    <i>
      <x v="51"/>
    </i>
    <i>
      <x v="159"/>
    </i>
    <i>
      <x v="162"/>
    </i>
    <i t="grand">
      <x/>
    </i>
  </rowItems>
  <colItems count="1">
    <i/>
  </colItems>
  <dataFields count="1">
    <dataField name="Average of popularity" fld="5" subtotal="average" baseField="1" baseItem="0"/>
  </dataFields>
  <formats count="6">
    <format dxfId="95">
      <pivotArea type="all" dataOnly="0" outline="0" fieldPosition="0"/>
    </format>
    <format dxfId="94">
      <pivotArea outline="0" collapsedLevelsAreSubtotals="1" fieldPosition="0"/>
    </format>
    <format dxfId="93">
      <pivotArea field="1" type="button" dataOnly="0" labelOnly="1" outline="0" axis="axisRow" fieldPosition="0"/>
    </format>
    <format dxfId="92">
      <pivotArea dataOnly="0" labelOnly="1" fieldPosition="0">
        <references count="1">
          <reference field="1" count="11">
            <x v="12"/>
            <x v="19"/>
            <x v="34"/>
            <x v="51"/>
            <x v="66"/>
            <x v="101"/>
            <x v="122"/>
            <x v="155"/>
            <x v="162"/>
            <x v="164"/>
            <x v="189"/>
          </reference>
        </references>
      </pivotArea>
    </format>
    <format dxfId="91">
      <pivotArea dataOnly="0" labelOnly="1" grandRow="1" outline="0" fieldPosition="0"/>
    </format>
    <format dxfId="90">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ergy_level" xr10:uid="{72234081-6663-4CE8-ABCA-C1F001FD2C0E}" sourceName="energy_level">
  <pivotTables>
    <pivotTable tabId="3" name="PivotTable4"/>
  </pivotTables>
  <data>
    <tabular pivotCacheId="193312432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7F9EDE99-1F19-4DBA-990A-F165F275B39B}" sourceName="content_type">
  <pivotTables>
    <pivotTable tabId="3" name="PivotTable4"/>
  </pivotTables>
  <data>
    <tabular pivotCacheId="1933124321">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pularity_level" xr10:uid="{F84270F2-EE86-4763-A379-6446B6BD897F}" sourceName="popularity_level">
  <pivotTables>
    <pivotTable tabId="3" name="PivotTable4"/>
  </pivotTables>
  <data>
    <tabular pivotCacheId="1933124321">
      <items count="4">
        <i x="1"/>
        <i x="2"/>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ergy_level" xr10:uid="{3AACD22D-C450-4DFA-B2ED-563A7040A7FC}" cache="Slicer_energy_level" caption="energy_level" style="SlicerStyleDark3" rowHeight="247650"/>
  <slicer name="content_type" xr10:uid="{0894CBFC-14E3-49E6-ACDE-1C6CF9167174}" cache="Slicer_content_type" caption="content_type" style="SlicerStyleDark3" rowHeight="247650"/>
  <slicer name="popularity_level" xr10:uid="{6136A081-906C-4B8C-B1D7-0B2863B3FEA9}" cache="Slicer_popularity_level" caption="popularity_level"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41CD13-7393-44F2-8E16-1572DDB79CE2}" name="spotify_data" displayName="spotify_data" ref="A1:T500" totalsRowShown="0" tableBorderDxfId="123">
  <autoFilter ref="A1:T500" xr:uid="{AE41CD13-7393-44F2-8E16-1572DDB79CE2}"/>
  <tableColumns count="20">
    <tableColumn id="1" xr3:uid="{68214CEE-6C37-424F-AA76-06C92D6C2FFF}" name="track_id"/>
    <tableColumn id="2" xr3:uid="{80E4609C-A92D-43E2-B50A-FFAD3CF690FF}" name="artists"/>
    <tableColumn id="3" xr3:uid="{D204A41A-F76D-450E-95C1-3408AB837DA6}" name="album_name"/>
    <tableColumn id="4" xr3:uid="{554B19D4-C02E-4370-9A23-5D670B19D3F3}" name="track_name"/>
    <tableColumn id="5" xr3:uid="{68C0E1A0-8C83-4513-BF29-0BF9A22AFBB4}" name="popularity"/>
    <tableColumn id="6" xr3:uid="{D07901B8-01EC-4AC3-B3EE-F398A689B0CD}" name="duration_ms"/>
    <tableColumn id="7" xr3:uid="{0AD55D28-B2DA-43F4-B3CC-EC4F47C2EA02}" name="explicit"/>
    <tableColumn id="8" xr3:uid="{3529E36F-1D30-4796-95C6-B5A035456364}" name="danceability"/>
    <tableColumn id="9" xr3:uid="{68B34025-4B54-4339-8318-34CA776AC68D}" name="energy"/>
    <tableColumn id="10" xr3:uid="{010A8EF1-7A1B-49E1-8D3A-0A15BB940A67}" name="key"/>
    <tableColumn id="11" xr3:uid="{3A4A177A-D614-4DA0-91FE-C7499DECBEDA}" name="loudness"/>
    <tableColumn id="12" xr3:uid="{3FF55D0C-841F-4CF2-BA54-FE57B316C1FB}" name="mode"/>
    <tableColumn id="13" xr3:uid="{74308A68-4487-458D-98E1-BC0B312B5998}" name="speechiness"/>
    <tableColumn id="14" xr3:uid="{6E6553E6-5993-42B5-9526-1B0B9B65F969}" name="acousticness"/>
    <tableColumn id="15" xr3:uid="{6F4C2C59-6925-4BF4-950F-AFBB821E1C52}" name="instrumentalness"/>
    <tableColumn id="16" xr3:uid="{D9804906-7EB3-4744-B1F0-4B1EF15A04E2}" name="liveness"/>
    <tableColumn id="17" xr3:uid="{CCDF8917-2E01-43CD-A092-450207AAAA3D}" name="valence"/>
    <tableColumn id="18" xr3:uid="{4D5BB435-5ED3-409F-96AA-C2CB315C0EA6}" name="tempo"/>
    <tableColumn id="19" xr3:uid="{657A5CDB-6C2E-4B8C-B0D5-F76A89D769E9}" name="time_signature"/>
    <tableColumn id="20" xr3:uid="{F5431401-D7D0-4814-9522-E8DC9E8C8284}" name="track_gen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2228AE-CE67-42F2-BC44-9C2A88CB1F50}" name="spotify_cleaned" displayName="spotify_cleaned" ref="A1:Y500" totalsRowShown="0" dataDxfId="102" tableBorderDxfId="122">
  <autoFilter ref="A1:Y500" xr:uid="{272228AE-CE67-42F2-BC44-9C2A88CB1F50}"/>
  <tableColumns count="25">
    <tableColumn id="1" xr3:uid="{4CF921F4-55A5-49EF-82D6-156638955A41}" name="track_id" dataDxfId="121"/>
    <tableColumn id="2" xr3:uid="{D1CAE465-8046-48B5-B080-EB89D0BFA156}" name="artists" dataDxfId="120"/>
    <tableColumn id="3" xr3:uid="{41E470AB-9D15-48B3-8663-22261B86C516}" name="album_name" dataDxfId="119"/>
    <tableColumn id="4" xr3:uid="{96E3C164-8B2D-4CA0-87E0-987635F20A3B}" name="track_name" dataDxfId="118"/>
    <tableColumn id="22" xr3:uid="{B09B8453-21DA-4A31-8B72-FD6BCBE975FE}" name="popularity_level" dataDxfId="100">
      <calculatedColumnFormula>IF( F2&gt;=80,"Hit",
IF(F2&gt;=60,"Popular",
IF( F2&gt;=40,"Average","Low")))</calculatedColumnFormula>
    </tableColumn>
    <tableColumn id="5" xr3:uid="{31B6C1DB-5CC7-4023-970C-A8DA7528C0F9}" name="popularity" dataDxfId="117"/>
    <tableColumn id="21" xr3:uid="{0B523400-A3B1-43CC-8967-26DD916983FD}" name="duration_min" dataDxfId="101">
      <calculatedColumnFormula>H2/6000</calculatedColumnFormula>
    </tableColumn>
    <tableColumn id="6" xr3:uid="{20226622-392B-4D8E-8F71-A5E3378F2225}" name="duration_ms" dataDxfId="116"/>
    <tableColumn id="24" xr3:uid="{D592D9FB-E6B8-4765-9F8D-7C375C7AEF58}" name="content_type" dataDxfId="98">
      <calculatedColumnFormula>IF(E2=TRUE,"Explicit","Clean")</calculatedColumnFormula>
    </tableColumn>
    <tableColumn id="7" xr3:uid="{793F6251-07A4-40FA-AFCB-F31A1E8AB2F0}" name="explicit" dataDxfId="99"/>
    <tableColumn id="26" xr3:uid="{9D62D2F7-B90B-4622-9106-02DA7CFEA5A6}" name=" dance_type" dataDxfId="96">
      <calculatedColumnFormula>IF(L2&gt;=0.7,"Very Danceable",
IF( L2&gt;=0.4,"Moderate","Low"))</calculatedColumnFormula>
    </tableColumn>
    <tableColumn id="8" xr3:uid="{B502FB7A-76C6-40B6-A98F-348575328FC8}" name="danceability" dataDxfId="115"/>
    <tableColumn id="25" xr3:uid="{B77EA73B-2DD9-4931-B07D-647245B3DCB2}" name="energy_level" dataDxfId="97">
      <calculatedColumnFormula>IF( N2&gt;=0.7,"High Energy",
IF( N2&gt;=0.4,"Medium Energy","Low Energy"))</calculatedColumnFormula>
    </tableColumn>
    <tableColumn id="9" xr3:uid="{1FCFB9A4-48E4-4393-B5A5-8D9925E33867}" name="energy" dataDxfId="114"/>
    <tableColumn id="10" xr3:uid="{7CBD6740-702B-4669-AADE-15506B55A0C4}" name="key" dataDxfId="113"/>
    <tableColumn id="11" xr3:uid="{0CA439D7-4F3A-4491-836E-6B2B33E3F120}" name="loudness" dataDxfId="112"/>
    <tableColumn id="12" xr3:uid="{5315CD75-7BAB-47FD-9E6F-6FD01E49B47F}" name="mode" dataDxfId="111"/>
    <tableColumn id="13" xr3:uid="{4658B59F-079D-40C0-A95C-02C531628845}" name="speechiness" dataDxfId="110"/>
    <tableColumn id="14" xr3:uid="{AA2129BE-17F2-4A0C-A66E-2BC4212DF38E}" name="acousticness" dataDxfId="109"/>
    <tableColumn id="15" xr3:uid="{5418073D-06C8-4920-A9C5-F50355730165}" name="instrumentalness" dataDxfId="108"/>
    <tableColumn id="16" xr3:uid="{A21816A3-7591-4BE7-A72A-5C12D79FCB7E}" name="liveness" dataDxfId="107"/>
    <tableColumn id="17" xr3:uid="{19892511-BEA3-43E5-82CF-27A0D4821EC0}" name="valence" dataDxfId="106"/>
    <tableColumn id="18" xr3:uid="{60F2A32E-D475-48BC-8EE2-CD17AE8C83B1}" name="tempo" dataDxfId="105"/>
    <tableColumn id="19" xr3:uid="{5F67F439-0DC1-457B-8652-E5FC4B38C9AC}" name="time_signature" dataDxfId="104"/>
    <tableColumn id="20" xr3:uid="{03D9B2FB-8079-4C1B-B832-F10122B78120}" name="track_genre" dataDxfId="10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DD4D-61D2-48DC-817A-85EF69F2D8B1}">
  <dimension ref="D1:R37"/>
  <sheetViews>
    <sheetView showGridLines="0" topLeftCell="C1" zoomScale="66" zoomScaleNormal="100" workbookViewId="0">
      <selection activeCell="R4" sqref="R4"/>
    </sheetView>
  </sheetViews>
  <sheetFormatPr defaultRowHeight="14.4" x14ac:dyDescent="0.3"/>
  <cols>
    <col min="1" max="2" width="8.88671875" style="40"/>
    <col min="3" max="3" width="4" style="40" customWidth="1"/>
    <col min="4" max="4" width="18.5546875" style="40" customWidth="1"/>
    <col min="5" max="5" width="25.44140625" style="40" customWidth="1"/>
    <col min="6" max="6" width="23.44140625" style="40" customWidth="1"/>
    <col min="7" max="7" width="24.33203125" style="40" customWidth="1"/>
    <col min="8" max="16384" width="8.88671875" style="40"/>
  </cols>
  <sheetData>
    <row r="1" spans="4:18" ht="63" x14ac:dyDescent="1.2">
      <c r="G1" s="51" t="s">
        <v>1559</v>
      </c>
      <c r="H1" s="41"/>
      <c r="J1" s="41"/>
      <c r="K1" s="41"/>
      <c r="L1" s="41"/>
      <c r="M1" s="41"/>
      <c r="N1" s="41"/>
      <c r="O1" s="41"/>
      <c r="P1" s="41"/>
      <c r="R1" s="42"/>
    </row>
    <row r="3" spans="4:18" ht="27" customHeight="1" x14ac:dyDescent="0.35">
      <c r="D3" s="43" t="s">
        <v>1555</v>
      </c>
      <c r="E3" s="44" t="s">
        <v>1561</v>
      </c>
      <c r="F3" s="44" t="s">
        <v>1557</v>
      </c>
      <c r="G3" s="45" t="s">
        <v>1558</v>
      </c>
    </row>
    <row r="4" spans="4:18" ht="31.8" customHeight="1" thickBot="1" x14ac:dyDescent="0.4">
      <c r="D4" s="46">
        <v>500</v>
      </c>
      <c r="E4" s="47">
        <v>45.655310620000002</v>
      </c>
      <c r="F4" s="47">
        <v>0.144545691</v>
      </c>
      <c r="G4" s="48">
        <v>199</v>
      </c>
    </row>
    <row r="5" spans="4:18" ht="15" thickTop="1" x14ac:dyDescent="0.3"/>
    <row r="15" spans="4:18" x14ac:dyDescent="0.3">
      <c r="F15" s="49"/>
    </row>
    <row r="35" spans="6:6" ht="28.8" x14ac:dyDescent="0.55000000000000004">
      <c r="F35" s="50" t="s">
        <v>1562</v>
      </c>
    </row>
    <row r="36" spans="6:6" ht="28.8" x14ac:dyDescent="0.55000000000000004">
      <c r="F36" s="50" t="s">
        <v>1563</v>
      </c>
    </row>
    <row r="37" spans="6:6" ht="28.8" x14ac:dyDescent="0.55000000000000004">
      <c r="F37" s="50" t="s">
        <v>1564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DC7B-EC0E-4EB1-BE95-4206A9A8DC4A}">
  <dimension ref="A1:T999"/>
  <sheetViews>
    <sheetView workbookViewId="0">
      <selection sqref="A1:XFD1"/>
    </sheetView>
  </sheetViews>
  <sheetFormatPr defaultRowHeight="14.4" x14ac:dyDescent="0.3"/>
  <cols>
    <col min="1" max="1" width="9.6640625" customWidth="1"/>
    <col min="3" max="3" width="13.6640625" customWidth="1"/>
    <col min="4" max="4" width="12.6640625" customWidth="1"/>
    <col min="5" max="5" width="11.44140625" customWidth="1"/>
    <col min="6" max="6" width="13.21875" customWidth="1"/>
    <col min="7" max="7" width="9.21875" customWidth="1"/>
    <col min="8" max="8" width="13.33203125" customWidth="1"/>
    <col min="11" max="11" width="10.33203125" customWidth="1"/>
    <col min="13" max="13" width="13.21875" customWidth="1"/>
    <col min="14" max="14" width="13.77734375" customWidth="1"/>
    <col min="15" max="15" width="17.33203125" customWidth="1"/>
    <col min="16" max="16" width="9.6640625" customWidth="1"/>
    <col min="17" max="17" width="9.33203125" customWidth="1"/>
    <col min="19" max="19" width="15.21875" customWidth="1"/>
    <col min="20" max="20" width="12.5546875" customWidth="1"/>
  </cols>
  <sheetData>
    <row r="1" spans="1:20" x14ac:dyDescent="0.3">
      <c r="A1" t="s">
        <v>1522</v>
      </c>
      <c r="B1" t="s">
        <v>1523</v>
      </c>
      <c r="C1" t="s">
        <v>1524</v>
      </c>
      <c r="D1" t="s">
        <v>1525</v>
      </c>
      <c r="E1" t="s">
        <v>1526</v>
      </c>
      <c r="F1" t="s">
        <v>1527</v>
      </c>
      <c r="G1" t="s">
        <v>1528</v>
      </c>
      <c r="H1" t="s">
        <v>1529</v>
      </c>
      <c r="I1" t="s">
        <v>1530</v>
      </c>
      <c r="J1" t="s">
        <v>1531</v>
      </c>
      <c r="K1" t="s">
        <v>1532</v>
      </c>
      <c r="L1" t="s">
        <v>1533</v>
      </c>
      <c r="M1" t="s">
        <v>1534</v>
      </c>
      <c r="N1" t="s">
        <v>1535</v>
      </c>
      <c r="O1" t="s">
        <v>1536</v>
      </c>
      <c r="P1" t="s">
        <v>1537</v>
      </c>
      <c r="Q1" t="s">
        <v>1538</v>
      </c>
      <c r="R1" t="s">
        <v>1539</v>
      </c>
      <c r="S1" t="s">
        <v>1540</v>
      </c>
      <c r="T1" t="s">
        <v>1541</v>
      </c>
    </row>
    <row r="2" spans="1:20" x14ac:dyDescent="0.3">
      <c r="A2" t="s">
        <v>0</v>
      </c>
      <c r="B2" t="s">
        <v>1</v>
      </c>
      <c r="C2" t="s">
        <v>2</v>
      </c>
      <c r="D2" t="s">
        <v>2</v>
      </c>
      <c r="E2">
        <v>73</v>
      </c>
      <c r="F2">
        <v>230666</v>
      </c>
      <c r="G2" t="b">
        <v>0</v>
      </c>
      <c r="H2">
        <v>0.67600000000000005</v>
      </c>
      <c r="I2">
        <v>0.46100000000000002</v>
      </c>
      <c r="J2">
        <v>1</v>
      </c>
      <c r="K2">
        <v>-6.7460000000000004</v>
      </c>
      <c r="L2">
        <v>0</v>
      </c>
      <c r="M2">
        <v>0.14299999999999999</v>
      </c>
      <c r="N2">
        <v>3.2199999999999999E-2</v>
      </c>
      <c r="O2" s="9" t="s">
        <v>3</v>
      </c>
      <c r="P2">
        <v>0.35799999999999998</v>
      </c>
      <c r="Q2">
        <v>0.71499999999999997</v>
      </c>
      <c r="R2">
        <v>87.917000000000002</v>
      </c>
      <c r="S2">
        <v>4</v>
      </c>
      <c r="T2" t="s">
        <v>4</v>
      </c>
    </row>
    <row r="3" spans="1:20" x14ac:dyDescent="0.3">
      <c r="A3" t="s">
        <v>5</v>
      </c>
      <c r="B3" t="s">
        <v>6</v>
      </c>
      <c r="C3" t="s">
        <v>7</v>
      </c>
      <c r="D3" t="s">
        <v>8</v>
      </c>
      <c r="E3">
        <v>55</v>
      </c>
      <c r="F3">
        <v>149610</v>
      </c>
      <c r="G3" t="b">
        <v>0</v>
      </c>
      <c r="H3">
        <v>0.42</v>
      </c>
      <c r="I3">
        <v>0.16600000000000001</v>
      </c>
      <c r="J3">
        <v>1</v>
      </c>
      <c r="K3">
        <v>-17.234999999999999</v>
      </c>
      <c r="L3">
        <v>1</v>
      </c>
      <c r="M3">
        <v>7.6300000000000007E-2</v>
      </c>
      <c r="N3">
        <v>0.92400000000000004</v>
      </c>
      <c r="O3" s="9" t="s">
        <v>9</v>
      </c>
      <c r="P3">
        <v>0.10100000000000001</v>
      </c>
      <c r="Q3">
        <v>0.26700000000000002</v>
      </c>
      <c r="R3">
        <v>77.489000000000004</v>
      </c>
      <c r="S3">
        <v>4</v>
      </c>
      <c r="T3" t="s">
        <v>4</v>
      </c>
    </row>
    <row r="4" spans="1:20" x14ac:dyDescent="0.3">
      <c r="A4" t="s">
        <v>10</v>
      </c>
      <c r="B4" t="s">
        <v>11</v>
      </c>
      <c r="C4" t="s">
        <v>12</v>
      </c>
      <c r="D4" t="s">
        <v>12</v>
      </c>
      <c r="E4">
        <v>57</v>
      </c>
      <c r="F4">
        <v>210826</v>
      </c>
      <c r="G4" t="b">
        <v>0</v>
      </c>
      <c r="H4">
        <v>0.438</v>
      </c>
      <c r="I4">
        <v>0.35899999999999999</v>
      </c>
      <c r="J4">
        <v>0</v>
      </c>
      <c r="K4">
        <v>-9.734</v>
      </c>
      <c r="L4">
        <v>1</v>
      </c>
      <c r="M4">
        <v>5.57E-2</v>
      </c>
      <c r="N4">
        <v>0.21</v>
      </c>
      <c r="O4">
        <v>0</v>
      </c>
      <c r="P4">
        <v>0.11700000000000001</v>
      </c>
      <c r="Q4">
        <v>0.12</v>
      </c>
      <c r="R4">
        <v>76.331999999999994</v>
      </c>
      <c r="S4">
        <v>4</v>
      </c>
      <c r="T4" t="s">
        <v>4</v>
      </c>
    </row>
    <row r="5" spans="1:20" x14ac:dyDescent="0.3">
      <c r="A5" t="s">
        <v>13</v>
      </c>
      <c r="B5" t="s">
        <v>14</v>
      </c>
      <c r="C5" t="s">
        <v>15</v>
      </c>
      <c r="D5" t="s">
        <v>16</v>
      </c>
      <c r="E5">
        <v>71</v>
      </c>
      <c r="F5">
        <v>201933</v>
      </c>
      <c r="G5" t="b">
        <v>0</v>
      </c>
      <c r="H5">
        <v>0.26600000000000001</v>
      </c>
      <c r="I5">
        <v>5.96E-2</v>
      </c>
      <c r="J5">
        <v>0</v>
      </c>
      <c r="K5">
        <v>-18.515000000000001</v>
      </c>
      <c r="L5">
        <v>1</v>
      </c>
      <c r="M5">
        <v>3.6299999999999999E-2</v>
      </c>
      <c r="N5">
        <v>0.90500000000000003</v>
      </c>
      <c r="O5" s="9" t="s">
        <v>17</v>
      </c>
      <c r="P5">
        <v>0.13200000000000001</v>
      </c>
      <c r="Q5">
        <v>0.14299999999999999</v>
      </c>
      <c r="R5">
        <v>181.74</v>
      </c>
      <c r="S5">
        <v>3</v>
      </c>
      <c r="T5" t="s">
        <v>4</v>
      </c>
    </row>
    <row r="6" spans="1:20" x14ac:dyDescent="0.3">
      <c r="A6" t="s">
        <v>18</v>
      </c>
      <c r="B6" t="s">
        <v>19</v>
      </c>
      <c r="C6" t="s">
        <v>20</v>
      </c>
      <c r="D6" t="s">
        <v>20</v>
      </c>
      <c r="E6">
        <v>82</v>
      </c>
      <c r="F6">
        <v>198853</v>
      </c>
      <c r="G6" t="b">
        <v>0</v>
      </c>
      <c r="H6">
        <v>0.61799999999999999</v>
      </c>
      <c r="I6">
        <v>0.443</v>
      </c>
      <c r="J6">
        <v>2</v>
      </c>
      <c r="K6">
        <v>-9.6809999999999992</v>
      </c>
      <c r="L6">
        <v>1</v>
      </c>
      <c r="M6">
        <v>5.2600000000000001E-2</v>
      </c>
      <c r="N6">
        <v>0.46899999999999997</v>
      </c>
      <c r="O6">
        <v>0</v>
      </c>
      <c r="P6">
        <v>8.2900000000000001E-2</v>
      </c>
      <c r="Q6">
        <v>0.16700000000000001</v>
      </c>
      <c r="R6">
        <v>119.949</v>
      </c>
      <c r="S6">
        <v>4</v>
      </c>
      <c r="T6" t="s">
        <v>4</v>
      </c>
    </row>
    <row r="7" spans="1:20" x14ac:dyDescent="0.3">
      <c r="A7" t="s">
        <v>21</v>
      </c>
      <c r="B7" t="s">
        <v>22</v>
      </c>
      <c r="C7" t="s">
        <v>23</v>
      </c>
      <c r="D7" t="s">
        <v>23</v>
      </c>
      <c r="E7">
        <v>58</v>
      </c>
      <c r="F7">
        <v>214240</v>
      </c>
      <c r="G7" t="b">
        <v>0</v>
      </c>
      <c r="H7">
        <v>0.68799999999999994</v>
      </c>
      <c r="I7">
        <v>0.48099999999999998</v>
      </c>
      <c r="J7">
        <v>6</v>
      </c>
      <c r="K7">
        <v>-8.8070000000000004</v>
      </c>
      <c r="L7">
        <v>1</v>
      </c>
      <c r="M7">
        <v>0.105</v>
      </c>
      <c r="N7">
        <v>0.28899999999999998</v>
      </c>
      <c r="O7">
        <v>0</v>
      </c>
      <c r="P7">
        <v>0.189</v>
      </c>
      <c r="Q7">
        <v>0.66600000000000004</v>
      </c>
      <c r="R7">
        <v>98.016999999999996</v>
      </c>
      <c r="S7">
        <v>4</v>
      </c>
      <c r="T7" t="s">
        <v>4</v>
      </c>
    </row>
    <row r="8" spans="1:20" x14ac:dyDescent="0.3">
      <c r="A8" t="s">
        <v>24</v>
      </c>
      <c r="B8" t="s">
        <v>25</v>
      </c>
      <c r="C8" t="s">
        <v>26</v>
      </c>
      <c r="D8" t="s">
        <v>27</v>
      </c>
      <c r="E8">
        <v>74</v>
      </c>
      <c r="F8">
        <v>229400</v>
      </c>
      <c r="G8" t="b">
        <v>0</v>
      </c>
      <c r="H8">
        <v>0.40699999999999997</v>
      </c>
      <c r="I8">
        <v>0.14699999999999999</v>
      </c>
      <c r="J8">
        <v>2</v>
      </c>
      <c r="K8">
        <v>-8.8219999999999992</v>
      </c>
      <c r="L8">
        <v>1</v>
      </c>
      <c r="M8">
        <v>3.5499999999999997E-2</v>
      </c>
      <c r="N8">
        <v>0.85699999999999998</v>
      </c>
      <c r="O8" s="9" t="s">
        <v>28</v>
      </c>
      <c r="P8">
        <v>9.1300000000000006E-2</v>
      </c>
      <c r="Q8">
        <v>7.6499999999999999E-2</v>
      </c>
      <c r="R8">
        <v>141.28399999999999</v>
      </c>
      <c r="S8">
        <v>3</v>
      </c>
      <c r="T8" t="s">
        <v>4</v>
      </c>
    </row>
    <row r="9" spans="1:20" x14ac:dyDescent="0.3">
      <c r="A9" t="s">
        <v>29</v>
      </c>
      <c r="B9" t="s">
        <v>30</v>
      </c>
      <c r="C9" t="s">
        <v>31</v>
      </c>
      <c r="D9" t="s">
        <v>32</v>
      </c>
      <c r="E9">
        <v>80</v>
      </c>
      <c r="F9">
        <v>242946</v>
      </c>
      <c r="G9" t="b">
        <v>0</v>
      </c>
      <c r="H9">
        <v>0.70299999999999996</v>
      </c>
      <c r="I9">
        <v>0.44400000000000001</v>
      </c>
      <c r="J9">
        <v>11</v>
      </c>
      <c r="K9">
        <v>-9.3309999999999995</v>
      </c>
      <c r="L9">
        <v>1</v>
      </c>
      <c r="M9">
        <v>4.1700000000000001E-2</v>
      </c>
      <c r="N9">
        <v>0.55900000000000005</v>
      </c>
      <c r="O9">
        <v>0</v>
      </c>
      <c r="P9">
        <v>9.7299999999999998E-2</v>
      </c>
      <c r="Q9">
        <v>0.71199999999999997</v>
      </c>
      <c r="R9">
        <v>150.96</v>
      </c>
      <c r="S9">
        <v>4</v>
      </c>
      <c r="T9" t="s">
        <v>4</v>
      </c>
    </row>
    <row r="10" spans="1:20" x14ac:dyDescent="0.3">
      <c r="A10" t="s">
        <v>33</v>
      </c>
      <c r="B10" t="s">
        <v>34</v>
      </c>
      <c r="C10" t="s">
        <v>31</v>
      </c>
      <c r="D10" t="s">
        <v>35</v>
      </c>
      <c r="E10">
        <v>74</v>
      </c>
      <c r="F10">
        <v>189613</v>
      </c>
      <c r="G10" t="b">
        <v>0</v>
      </c>
      <c r="H10">
        <v>0.625</v>
      </c>
      <c r="I10">
        <v>0.41399999999999998</v>
      </c>
      <c r="J10">
        <v>0</v>
      </c>
      <c r="K10">
        <v>-8.6999999999999993</v>
      </c>
      <c r="L10">
        <v>1</v>
      </c>
      <c r="M10">
        <v>3.6900000000000002E-2</v>
      </c>
      <c r="N10">
        <v>0.29399999999999998</v>
      </c>
      <c r="O10">
        <v>0</v>
      </c>
      <c r="P10">
        <v>0.151</v>
      </c>
      <c r="Q10">
        <v>0.66900000000000004</v>
      </c>
      <c r="R10">
        <v>130.08799999999999</v>
      </c>
      <c r="S10">
        <v>4</v>
      </c>
      <c r="T10" t="s">
        <v>4</v>
      </c>
    </row>
    <row r="11" spans="1:20" x14ac:dyDescent="0.3">
      <c r="A11" t="s">
        <v>36</v>
      </c>
      <c r="B11" t="s">
        <v>37</v>
      </c>
      <c r="C11" t="s">
        <v>38</v>
      </c>
      <c r="D11" t="s">
        <v>38</v>
      </c>
      <c r="E11">
        <v>56</v>
      </c>
      <c r="F11">
        <v>205594</v>
      </c>
      <c r="G11" t="b">
        <v>0</v>
      </c>
      <c r="H11">
        <v>0.442</v>
      </c>
      <c r="I11">
        <v>0.63200000000000001</v>
      </c>
      <c r="J11">
        <v>1</v>
      </c>
      <c r="K11">
        <v>-6.77</v>
      </c>
      <c r="L11">
        <v>1</v>
      </c>
      <c r="M11">
        <v>2.9499999999999998E-2</v>
      </c>
      <c r="N11">
        <v>0.42599999999999999</v>
      </c>
      <c r="O11">
        <v>4.1900000000000001E-3</v>
      </c>
      <c r="P11">
        <v>7.3499999999999996E-2</v>
      </c>
      <c r="Q11">
        <v>0.19600000000000001</v>
      </c>
      <c r="R11">
        <v>78.899000000000001</v>
      </c>
      <c r="S11">
        <v>4</v>
      </c>
      <c r="T11" t="s">
        <v>4</v>
      </c>
    </row>
    <row r="12" spans="1:20" x14ac:dyDescent="0.3">
      <c r="A12" t="s">
        <v>39</v>
      </c>
      <c r="B12" t="s">
        <v>40</v>
      </c>
      <c r="C12" t="s">
        <v>41</v>
      </c>
      <c r="D12" t="s">
        <v>42</v>
      </c>
      <c r="E12">
        <v>74</v>
      </c>
      <c r="F12">
        <v>244800</v>
      </c>
      <c r="G12" t="b">
        <v>0</v>
      </c>
      <c r="H12">
        <v>0.627</v>
      </c>
      <c r="I12">
        <v>0.36299999999999999</v>
      </c>
      <c r="J12">
        <v>8</v>
      </c>
      <c r="K12">
        <v>-8.1270000000000007</v>
      </c>
      <c r="L12">
        <v>1</v>
      </c>
      <c r="M12">
        <v>2.9100000000000001E-2</v>
      </c>
      <c r="N12">
        <v>0.27900000000000003</v>
      </c>
      <c r="O12">
        <v>0</v>
      </c>
      <c r="P12">
        <v>9.2799999999999994E-2</v>
      </c>
      <c r="Q12">
        <v>0.30099999999999999</v>
      </c>
      <c r="R12">
        <v>99.905000000000001</v>
      </c>
      <c r="S12">
        <v>4</v>
      </c>
      <c r="T12" t="s">
        <v>4</v>
      </c>
    </row>
    <row r="13" spans="1:20" x14ac:dyDescent="0.3">
      <c r="A13" t="s">
        <v>43</v>
      </c>
      <c r="B13" t="s">
        <v>30</v>
      </c>
      <c r="C13" t="s">
        <v>44</v>
      </c>
      <c r="D13" t="s">
        <v>45</v>
      </c>
      <c r="E13">
        <v>69</v>
      </c>
      <c r="F13">
        <v>240165</v>
      </c>
      <c r="G13" t="b">
        <v>0</v>
      </c>
      <c r="H13">
        <v>0.48299999999999998</v>
      </c>
      <c r="I13">
        <v>0.30299999999999999</v>
      </c>
      <c r="J13">
        <v>4</v>
      </c>
      <c r="K13">
        <v>-10.058</v>
      </c>
      <c r="L13">
        <v>1</v>
      </c>
      <c r="M13">
        <v>4.2900000000000001E-2</v>
      </c>
      <c r="N13">
        <v>0.69399999999999995</v>
      </c>
      <c r="O13">
        <v>0</v>
      </c>
      <c r="P13">
        <v>0.115</v>
      </c>
      <c r="Q13">
        <v>0.13900000000000001</v>
      </c>
      <c r="R13">
        <v>133.40600000000001</v>
      </c>
      <c r="S13">
        <v>3</v>
      </c>
      <c r="T13" t="s">
        <v>4</v>
      </c>
    </row>
    <row r="14" spans="1:20" x14ac:dyDescent="0.3">
      <c r="A14" t="s">
        <v>46</v>
      </c>
      <c r="B14" t="s">
        <v>47</v>
      </c>
      <c r="C14" t="s">
        <v>48</v>
      </c>
      <c r="D14" t="s">
        <v>48</v>
      </c>
      <c r="E14">
        <v>52</v>
      </c>
      <c r="F14">
        <v>198712</v>
      </c>
      <c r="G14" t="b">
        <v>0</v>
      </c>
      <c r="H14">
        <v>0.48899999999999999</v>
      </c>
      <c r="I14">
        <v>0.314</v>
      </c>
      <c r="J14">
        <v>7</v>
      </c>
      <c r="K14">
        <v>-9.2449999999999992</v>
      </c>
      <c r="L14">
        <v>0</v>
      </c>
      <c r="M14">
        <v>3.3099999999999997E-2</v>
      </c>
      <c r="N14">
        <v>0.749</v>
      </c>
      <c r="O14">
        <v>0</v>
      </c>
      <c r="P14">
        <v>0.113</v>
      </c>
      <c r="Q14">
        <v>0.60699999999999998</v>
      </c>
      <c r="R14">
        <v>124.23399999999999</v>
      </c>
      <c r="S14">
        <v>4</v>
      </c>
      <c r="T14" t="s">
        <v>4</v>
      </c>
    </row>
    <row r="15" spans="1:20" x14ac:dyDescent="0.3">
      <c r="A15" t="s">
        <v>49</v>
      </c>
      <c r="B15" t="s">
        <v>50</v>
      </c>
      <c r="C15" t="s">
        <v>51</v>
      </c>
      <c r="D15" t="s">
        <v>51</v>
      </c>
      <c r="E15">
        <v>62</v>
      </c>
      <c r="F15">
        <v>248448</v>
      </c>
      <c r="G15" t="b">
        <v>0</v>
      </c>
      <c r="H15">
        <v>0.69099999999999995</v>
      </c>
      <c r="I15">
        <v>0.23400000000000001</v>
      </c>
      <c r="J15">
        <v>3</v>
      </c>
      <c r="K15">
        <v>-6.4409999999999998</v>
      </c>
      <c r="L15">
        <v>1</v>
      </c>
      <c r="M15">
        <v>2.8500000000000001E-2</v>
      </c>
      <c r="N15">
        <v>0.77700000000000002</v>
      </c>
      <c r="O15">
        <v>0</v>
      </c>
      <c r="P15">
        <v>0.12</v>
      </c>
      <c r="Q15">
        <v>0.20899999999999999</v>
      </c>
      <c r="R15">
        <v>87.102999999999994</v>
      </c>
      <c r="S15">
        <v>4</v>
      </c>
      <c r="T15" t="s">
        <v>4</v>
      </c>
    </row>
    <row r="16" spans="1:20" x14ac:dyDescent="0.3">
      <c r="A16" t="s">
        <v>52</v>
      </c>
      <c r="B16" t="s">
        <v>53</v>
      </c>
      <c r="C16" t="s">
        <v>54</v>
      </c>
      <c r="D16" t="s">
        <v>55</v>
      </c>
      <c r="E16">
        <v>56</v>
      </c>
      <c r="F16">
        <v>188133</v>
      </c>
      <c r="G16" t="b">
        <v>0</v>
      </c>
      <c r="H16">
        <v>0.755</v>
      </c>
      <c r="I16">
        <v>0.78</v>
      </c>
      <c r="J16">
        <v>2</v>
      </c>
      <c r="K16">
        <v>-6.0839999999999996</v>
      </c>
      <c r="L16">
        <v>1</v>
      </c>
      <c r="M16">
        <v>3.27E-2</v>
      </c>
      <c r="N16">
        <v>0.124</v>
      </c>
      <c r="O16" s="9" t="s">
        <v>56</v>
      </c>
      <c r="P16">
        <v>0.121</v>
      </c>
      <c r="Q16">
        <v>0.38700000000000001</v>
      </c>
      <c r="R16">
        <v>120.004</v>
      </c>
      <c r="S16">
        <v>4</v>
      </c>
      <c r="T16" t="s">
        <v>4</v>
      </c>
    </row>
    <row r="17" spans="1:20" x14ac:dyDescent="0.3">
      <c r="A17" t="s">
        <v>57</v>
      </c>
      <c r="B17" t="s">
        <v>58</v>
      </c>
      <c r="C17" t="s">
        <v>59</v>
      </c>
      <c r="D17" t="s">
        <v>60</v>
      </c>
      <c r="E17">
        <v>58</v>
      </c>
      <c r="F17">
        <v>244986</v>
      </c>
      <c r="G17" t="b">
        <v>0</v>
      </c>
      <c r="H17">
        <v>0.48899999999999999</v>
      </c>
      <c r="I17">
        <v>0.56100000000000005</v>
      </c>
      <c r="J17">
        <v>4</v>
      </c>
      <c r="K17">
        <v>-7.9329999999999998</v>
      </c>
      <c r="L17">
        <v>1</v>
      </c>
      <c r="M17">
        <v>2.7400000000000001E-2</v>
      </c>
      <c r="N17">
        <v>0.2</v>
      </c>
      <c r="O17" s="9" t="s">
        <v>61</v>
      </c>
      <c r="P17">
        <v>0.17899999999999999</v>
      </c>
      <c r="Q17">
        <v>0.23799999999999999</v>
      </c>
      <c r="R17">
        <v>83.456999999999994</v>
      </c>
      <c r="S17">
        <v>3</v>
      </c>
      <c r="T17" t="s">
        <v>4</v>
      </c>
    </row>
    <row r="18" spans="1:20" x14ac:dyDescent="0.3">
      <c r="A18" t="s">
        <v>62</v>
      </c>
      <c r="B18" t="s">
        <v>63</v>
      </c>
      <c r="C18" t="s">
        <v>64</v>
      </c>
      <c r="D18" t="s">
        <v>64</v>
      </c>
      <c r="E18">
        <v>56</v>
      </c>
      <c r="F18">
        <v>129750</v>
      </c>
      <c r="G18" t="b">
        <v>0</v>
      </c>
      <c r="H18">
        <v>0.70599999999999996</v>
      </c>
      <c r="I18">
        <v>0.112</v>
      </c>
      <c r="J18">
        <v>2</v>
      </c>
      <c r="K18">
        <v>-18.097999999999999</v>
      </c>
      <c r="L18">
        <v>1</v>
      </c>
      <c r="M18">
        <v>3.9100000000000003E-2</v>
      </c>
      <c r="N18">
        <v>0.82699999999999996</v>
      </c>
      <c r="O18" s="9" t="s">
        <v>65</v>
      </c>
      <c r="P18">
        <v>0.125</v>
      </c>
      <c r="Q18">
        <v>0.41399999999999998</v>
      </c>
      <c r="R18">
        <v>110.154</v>
      </c>
      <c r="S18">
        <v>4</v>
      </c>
      <c r="T18" t="s">
        <v>4</v>
      </c>
    </row>
    <row r="19" spans="1:20" x14ac:dyDescent="0.3">
      <c r="A19" t="s">
        <v>66</v>
      </c>
      <c r="B19" t="s">
        <v>63</v>
      </c>
      <c r="C19" t="s">
        <v>67</v>
      </c>
      <c r="D19" t="s">
        <v>67</v>
      </c>
      <c r="E19">
        <v>54</v>
      </c>
      <c r="F19">
        <v>169728</v>
      </c>
      <c r="G19" t="b">
        <v>0</v>
      </c>
      <c r="H19">
        <v>0.79500000000000004</v>
      </c>
      <c r="I19">
        <v>8.4099999999999994E-2</v>
      </c>
      <c r="J19">
        <v>10</v>
      </c>
      <c r="K19">
        <v>-18.09</v>
      </c>
      <c r="L19">
        <v>0</v>
      </c>
      <c r="M19">
        <v>4.6100000000000002E-2</v>
      </c>
      <c r="N19">
        <v>0.74199999999999999</v>
      </c>
      <c r="O19" s="9" t="s">
        <v>68</v>
      </c>
      <c r="P19">
        <v>8.5300000000000001E-2</v>
      </c>
      <c r="Q19">
        <v>0.60899999999999999</v>
      </c>
      <c r="R19">
        <v>91.802999999999997</v>
      </c>
      <c r="S19">
        <v>4</v>
      </c>
      <c r="T19" t="s">
        <v>4</v>
      </c>
    </row>
    <row r="20" spans="1:20" x14ac:dyDescent="0.3">
      <c r="A20" t="s">
        <v>69</v>
      </c>
      <c r="B20" t="s">
        <v>34</v>
      </c>
      <c r="C20" t="s">
        <v>31</v>
      </c>
      <c r="D20" t="s">
        <v>35</v>
      </c>
      <c r="E20">
        <v>68</v>
      </c>
      <c r="F20">
        <v>189613</v>
      </c>
      <c r="G20" t="b">
        <v>0</v>
      </c>
      <c r="H20">
        <v>0.625</v>
      </c>
      <c r="I20">
        <v>0.41399999999999998</v>
      </c>
      <c r="J20">
        <v>0</v>
      </c>
      <c r="K20">
        <v>-8.6999999999999993</v>
      </c>
      <c r="L20">
        <v>1</v>
      </c>
      <c r="M20">
        <v>3.6900000000000002E-2</v>
      </c>
      <c r="N20">
        <v>0.29399999999999998</v>
      </c>
      <c r="O20">
        <v>0</v>
      </c>
      <c r="P20">
        <v>0.151</v>
      </c>
      <c r="Q20">
        <v>0.66900000000000004</v>
      </c>
      <c r="R20">
        <v>130.08799999999999</v>
      </c>
      <c r="S20">
        <v>4</v>
      </c>
      <c r="T20" t="s">
        <v>4</v>
      </c>
    </row>
    <row r="21" spans="1:20" x14ac:dyDescent="0.3">
      <c r="A21" t="s">
        <v>70</v>
      </c>
      <c r="B21" t="s">
        <v>71</v>
      </c>
      <c r="C21" t="s">
        <v>72</v>
      </c>
      <c r="D21" t="s">
        <v>73</v>
      </c>
      <c r="E21">
        <v>67</v>
      </c>
      <c r="F21">
        <v>260186</v>
      </c>
      <c r="G21" t="b">
        <v>0</v>
      </c>
      <c r="H21">
        <v>0.71699999999999997</v>
      </c>
      <c r="I21">
        <v>0.32</v>
      </c>
      <c r="J21">
        <v>3</v>
      </c>
      <c r="K21">
        <v>-8.3930000000000007</v>
      </c>
      <c r="L21">
        <v>1</v>
      </c>
      <c r="M21">
        <v>2.8299999999999999E-2</v>
      </c>
      <c r="N21">
        <v>0.83</v>
      </c>
      <c r="O21">
        <v>0</v>
      </c>
      <c r="P21">
        <v>0.107</v>
      </c>
      <c r="Q21">
        <v>0.32200000000000001</v>
      </c>
      <c r="R21">
        <v>107.946</v>
      </c>
      <c r="S21">
        <v>4</v>
      </c>
      <c r="T21" t="s">
        <v>4</v>
      </c>
    </row>
    <row r="22" spans="1:20" x14ac:dyDescent="0.3">
      <c r="A22" t="s">
        <v>74</v>
      </c>
      <c r="B22" t="s">
        <v>30</v>
      </c>
      <c r="C22" t="s">
        <v>31</v>
      </c>
      <c r="D22" t="s">
        <v>32</v>
      </c>
      <c r="E22">
        <v>75</v>
      </c>
      <c r="F22">
        <v>242946</v>
      </c>
      <c r="G22" t="b">
        <v>0</v>
      </c>
      <c r="H22">
        <v>0.70299999999999996</v>
      </c>
      <c r="I22">
        <v>0.44400000000000001</v>
      </c>
      <c r="J22">
        <v>11</v>
      </c>
      <c r="K22">
        <v>-9.3309999999999995</v>
      </c>
      <c r="L22">
        <v>1</v>
      </c>
      <c r="M22">
        <v>4.1700000000000001E-2</v>
      </c>
      <c r="N22">
        <v>0.55900000000000005</v>
      </c>
      <c r="O22">
        <v>0</v>
      </c>
      <c r="P22">
        <v>9.7299999999999998E-2</v>
      </c>
      <c r="Q22">
        <v>0.71199999999999997</v>
      </c>
      <c r="R22">
        <v>150.96</v>
      </c>
      <c r="S22">
        <v>4</v>
      </c>
      <c r="T22" t="s">
        <v>4</v>
      </c>
    </row>
    <row r="23" spans="1:20" x14ac:dyDescent="0.3">
      <c r="A23" t="s">
        <v>75</v>
      </c>
      <c r="B23" t="s">
        <v>76</v>
      </c>
      <c r="C23" t="s">
        <v>77</v>
      </c>
      <c r="D23" t="s">
        <v>78</v>
      </c>
      <c r="E23">
        <v>63</v>
      </c>
      <c r="F23">
        <v>174174</v>
      </c>
      <c r="G23" t="b">
        <v>0</v>
      </c>
      <c r="H23">
        <v>0.67800000000000005</v>
      </c>
      <c r="I23">
        <v>0.35099999999999998</v>
      </c>
      <c r="J23">
        <v>0</v>
      </c>
      <c r="K23">
        <v>-8.6539999999999999</v>
      </c>
      <c r="L23">
        <v>1</v>
      </c>
      <c r="M23">
        <v>2.6599999999999999E-2</v>
      </c>
      <c r="N23">
        <v>0.747</v>
      </c>
      <c r="O23">
        <v>0</v>
      </c>
      <c r="P23">
        <v>0.35499999999999998</v>
      </c>
      <c r="Q23">
        <v>0.56899999999999995</v>
      </c>
      <c r="R23">
        <v>90.031999999999996</v>
      </c>
      <c r="S23">
        <v>4</v>
      </c>
      <c r="T23" t="s">
        <v>4</v>
      </c>
    </row>
    <row r="24" spans="1:20" x14ac:dyDescent="0.3">
      <c r="A24" t="s">
        <v>79</v>
      </c>
      <c r="B24" t="s">
        <v>25</v>
      </c>
      <c r="C24" t="s">
        <v>80</v>
      </c>
      <c r="D24" t="s">
        <v>27</v>
      </c>
      <c r="E24">
        <v>70</v>
      </c>
      <c r="F24">
        <v>229400</v>
      </c>
      <c r="G24" t="b">
        <v>0</v>
      </c>
      <c r="H24">
        <v>0.40699999999999997</v>
      </c>
      <c r="I24">
        <v>0.14699999999999999</v>
      </c>
      <c r="J24">
        <v>2</v>
      </c>
      <c r="K24">
        <v>-8.8219999999999992</v>
      </c>
      <c r="L24">
        <v>1</v>
      </c>
      <c r="M24">
        <v>3.5499999999999997E-2</v>
      </c>
      <c r="N24">
        <v>0.85699999999999998</v>
      </c>
      <c r="O24" s="9" t="s">
        <v>28</v>
      </c>
      <c r="P24">
        <v>9.1300000000000006E-2</v>
      </c>
      <c r="Q24">
        <v>7.6499999999999999E-2</v>
      </c>
      <c r="R24">
        <v>141.28399999999999</v>
      </c>
      <c r="S24">
        <v>3</v>
      </c>
      <c r="T24" t="s">
        <v>4</v>
      </c>
    </row>
    <row r="25" spans="1:20" x14ac:dyDescent="0.3">
      <c r="A25" t="s">
        <v>81</v>
      </c>
      <c r="B25" t="s">
        <v>30</v>
      </c>
      <c r="C25" t="s">
        <v>82</v>
      </c>
      <c r="D25" t="s">
        <v>83</v>
      </c>
      <c r="E25">
        <v>0</v>
      </c>
      <c r="F25">
        <v>216386</v>
      </c>
      <c r="G25" t="b">
        <v>0</v>
      </c>
      <c r="H25">
        <v>0.57199999999999995</v>
      </c>
      <c r="I25">
        <v>0.45400000000000001</v>
      </c>
      <c r="J25">
        <v>3</v>
      </c>
      <c r="K25">
        <v>-10.286</v>
      </c>
      <c r="L25">
        <v>1</v>
      </c>
      <c r="M25">
        <v>2.58E-2</v>
      </c>
      <c r="N25">
        <v>0.47699999999999998</v>
      </c>
      <c r="O25" s="9" t="s">
        <v>84</v>
      </c>
      <c r="P25">
        <v>9.74E-2</v>
      </c>
      <c r="Q25">
        <v>0.51500000000000001</v>
      </c>
      <c r="R25">
        <v>140.18199999999999</v>
      </c>
      <c r="S25">
        <v>4</v>
      </c>
      <c r="T25" t="s">
        <v>4</v>
      </c>
    </row>
    <row r="26" spans="1:20" x14ac:dyDescent="0.3">
      <c r="A26" t="s">
        <v>85</v>
      </c>
      <c r="B26" t="s">
        <v>30</v>
      </c>
      <c r="C26" t="s">
        <v>86</v>
      </c>
      <c r="D26" t="s">
        <v>87</v>
      </c>
      <c r="E26">
        <v>0</v>
      </c>
      <c r="F26">
        <v>231266</v>
      </c>
      <c r="G26" t="b">
        <v>0</v>
      </c>
      <c r="H26">
        <v>0.79600000000000004</v>
      </c>
      <c r="I26">
        <v>0.66700000000000004</v>
      </c>
      <c r="J26">
        <v>5</v>
      </c>
      <c r="K26">
        <v>-4.8310000000000004</v>
      </c>
      <c r="L26">
        <v>0</v>
      </c>
      <c r="M26">
        <v>3.9199999999999999E-2</v>
      </c>
      <c r="N26">
        <v>0.38100000000000001</v>
      </c>
      <c r="O26">
        <v>0</v>
      </c>
      <c r="P26">
        <v>0.221</v>
      </c>
      <c r="Q26">
        <v>0.754</v>
      </c>
      <c r="R26">
        <v>97.988</v>
      </c>
      <c r="S26">
        <v>4</v>
      </c>
      <c r="T26" t="s">
        <v>4</v>
      </c>
    </row>
    <row r="27" spans="1:20" x14ac:dyDescent="0.3">
      <c r="A27" t="s">
        <v>88</v>
      </c>
      <c r="B27" t="s">
        <v>30</v>
      </c>
      <c r="C27" t="s">
        <v>89</v>
      </c>
      <c r="D27" t="s">
        <v>90</v>
      </c>
      <c r="E27">
        <v>1</v>
      </c>
      <c r="F27">
        <v>302346</v>
      </c>
      <c r="G27" t="b">
        <v>0</v>
      </c>
      <c r="H27">
        <v>0.755</v>
      </c>
      <c r="I27">
        <v>0.45400000000000001</v>
      </c>
      <c r="J27">
        <v>9</v>
      </c>
      <c r="K27">
        <v>-9.609</v>
      </c>
      <c r="L27">
        <v>0</v>
      </c>
      <c r="M27">
        <v>3.5200000000000002E-2</v>
      </c>
      <c r="N27">
        <v>0.75700000000000001</v>
      </c>
      <c r="O27">
        <v>0</v>
      </c>
      <c r="P27">
        <v>0.23599999999999999</v>
      </c>
      <c r="Q27">
        <v>0.33</v>
      </c>
      <c r="R27">
        <v>120.06</v>
      </c>
      <c r="S27">
        <v>4</v>
      </c>
      <c r="T27" t="s">
        <v>4</v>
      </c>
    </row>
    <row r="28" spans="1:20" x14ac:dyDescent="0.3">
      <c r="A28" t="s">
        <v>91</v>
      </c>
      <c r="B28" t="s">
        <v>30</v>
      </c>
      <c r="C28" t="s">
        <v>92</v>
      </c>
      <c r="D28" t="s">
        <v>93</v>
      </c>
      <c r="E28">
        <v>0</v>
      </c>
      <c r="F28">
        <v>131760</v>
      </c>
      <c r="G28" t="b">
        <v>0</v>
      </c>
      <c r="H28">
        <v>0.62</v>
      </c>
      <c r="I28">
        <v>0.309</v>
      </c>
      <c r="J28">
        <v>5</v>
      </c>
      <c r="K28">
        <v>-9.2089999999999996</v>
      </c>
      <c r="L28">
        <v>1</v>
      </c>
      <c r="M28">
        <v>4.9500000000000002E-2</v>
      </c>
      <c r="N28">
        <v>0.78800000000000003</v>
      </c>
      <c r="O28">
        <v>0</v>
      </c>
      <c r="P28">
        <v>0.14599999999999999</v>
      </c>
      <c r="Q28">
        <v>0.66400000000000003</v>
      </c>
      <c r="R28">
        <v>145.363</v>
      </c>
      <c r="S28">
        <v>4</v>
      </c>
      <c r="T28" t="s">
        <v>4</v>
      </c>
    </row>
    <row r="29" spans="1:20" x14ac:dyDescent="0.3">
      <c r="A29" t="s">
        <v>94</v>
      </c>
      <c r="B29" t="s">
        <v>30</v>
      </c>
      <c r="C29" t="s">
        <v>95</v>
      </c>
      <c r="D29" t="s">
        <v>96</v>
      </c>
      <c r="E29">
        <v>0</v>
      </c>
      <c r="F29">
        <v>273653</v>
      </c>
      <c r="G29" t="b">
        <v>0</v>
      </c>
      <c r="H29">
        <v>0.63300000000000001</v>
      </c>
      <c r="I29">
        <v>0.42899999999999999</v>
      </c>
      <c r="J29">
        <v>4</v>
      </c>
      <c r="K29">
        <v>-6.7839999999999998</v>
      </c>
      <c r="L29">
        <v>0</v>
      </c>
      <c r="M29">
        <v>3.8100000000000002E-2</v>
      </c>
      <c r="N29">
        <v>4.4400000000000002E-2</v>
      </c>
      <c r="O29">
        <v>0</v>
      </c>
      <c r="P29">
        <v>0.13200000000000001</v>
      </c>
      <c r="Q29">
        <v>0.52</v>
      </c>
      <c r="R29">
        <v>143.79300000000001</v>
      </c>
      <c r="S29">
        <v>4</v>
      </c>
      <c r="T29" t="s">
        <v>4</v>
      </c>
    </row>
    <row r="30" spans="1:20" x14ac:dyDescent="0.3">
      <c r="A30" t="s">
        <v>97</v>
      </c>
      <c r="B30" t="s">
        <v>30</v>
      </c>
      <c r="C30" t="s">
        <v>98</v>
      </c>
      <c r="D30" t="s">
        <v>93</v>
      </c>
      <c r="E30">
        <v>0</v>
      </c>
      <c r="F30">
        <v>131760</v>
      </c>
      <c r="G30" t="b">
        <v>0</v>
      </c>
      <c r="H30">
        <v>0.62</v>
      </c>
      <c r="I30">
        <v>0.309</v>
      </c>
      <c r="J30">
        <v>5</v>
      </c>
      <c r="K30">
        <v>-9.2089999999999996</v>
      </c>
      <c r="L30">
        <v>1</v>
      </c>
      <c r="M30">
        <v>4.9500000000000002E-2</v>
      </c>
      <c r="N30">
        <v>0.78800000000000003</v>
      </c>
      <c r="O30">
        <v>0</v>
      </c>
      <c r="P30">
        <v>0.14599999999999999</v>
      </c>
      <c r="Q30">
        <v>0.66400000000000003</v>
      </c>
      <c r="R30">
        <v>145.363</v>
      </c>
      <c r="S30">
        <v>4</v>
      </c>
      <c r="T30" t="s">
        <v>4</v>
      </c>
    </row>
    <row r="31" spans="1:20" x14ac:dyDescent="0.3">
      <c r="A31" t="s">
        <v>99</v>
      </c>
      <c r="B31" t="s">
        <v>30</v>
      </c>
      <c r="C31" t="s">
        <v>100</v>
      </c>
      <c r="D31" t="s">
        <v>93</v>
      </c>
      <c r="E31">
        <v>0</v>
      </c>
      <c r="F31">
        <v>131760</v>
      </c>
      <c r="G31" t="b">
        <v>0</v>
      </c>
      <c r="H31">
        <v>0.62</v>
      </c>
      <c r="I31">
        <v>0.309</v>
      </c>
      <c r="J31">
        <v>5</v>
      </c>
      <c r="K31">
        <v>-9.2089999999999996</v>
      </c>
      <c r="L31">
        <v>1</v>
      </c>
      <c r="M31">
        <v>4.9500000000000002E-2</v>
      </c>
      <c r="N31">
        <v>0.78800000000000003</v>
      </c>
      <c r="O31">
        <v>0</v>
      </c>
      <c r="P31">
        <v>0.14599999999999999</v>
      </c>
      <c r="Q31">
        <v>0.66400000000000003</v>
      </c>
      <c r="R31">
        <v>145.363</v>
      </c>
      <c r="S31">
        <v>4</v>
      </c>
      <c r="T31" t="s">
        <v>4</v>
      </c>
    </row>
    <row r="32" spans="1:20" x14ac:dyDescent="0.3">
      <c r="A32" t="s">
        <v>101</v>
      </c>
      <c r="B32" t="s">
        <v>30</v>
      </c>
      <c r="C32" t="s">
        <v>102</v>
      </c>
      <c r="D32" t="s">
        <v>93</v>
      </c>
      <c r="E32">
        <v>0</v>
      </c>
      <c r="F32">
        <v>131760</v>
      </c>
      <c r="G32" t="b">
        <v>0</v>
      </c>
      <c r="H32">
        <v>0.62</v>
      </c>
      <c r="I32">
        <v>0.309</v>
      </c>
      <c r="J32">
        <v>5</v>
      </c>
      <c r="K32">
        <v>-9.2089999999999996</v>
      </c>
      <c r="L32">
        <v>1</v>
      </c>
      <c r="M32">
        <v>4.9500000000000002E-2</v>
      </c>
      <c r="N32">
        <v>0.78800000000000003</v>
      </c>
      <c r="O32">
        <v>0</v>
      </c>
      <c r="P32">
        <v>0.14599999999999999</v>
      </c>
      <c r="Q32">
        <v>0.66400000000000003</v>
      </c>
      <c r="R32">
        <v>145.363</v>
      </c>
      <c r="S32">
        <v>4</v>
      </c>
      <c r="T32" t="s">
        <v>4</v>
      </c>
    </row>
    <row r="33" spans="1:20" x14ac:dyDescent="0.3">
      <c r="A33" t="s">
        <v>103</v>
      </c>
      <c r="B33" t="s">
        <v>30</v>
      </c>
      <c r="C33" t="s">
        <v>104</v>
      </c>
      <c r="D33" t="s">
        <v>93</v>
      </c>
      <c r="E33">
        <v>0</v>
      </c>
      <c r="F33">
        <v>131760</v>
      </c>
      <c r="G33" t="b">
        <v>0</v>
      </c>
      <c r="H33">
        <v>0.62</v>
      </c>
      <c r="I33">
        <v>0.309</v>
      </c>
      <c r="J33">
        <v>5</v>
      </c>
      <c r="K33">
        <v>-9.2089999999999996</v>
      </c>
      <c r="L33">
        <v>1</v>
      </c>
      <c r="M33">
        <v>4.9500000000000002E-2</v>
      </c>
      <c r="N33">
        <v>0.78800000000000003</v>
      </c>
      <c r="O33">
        <v>0</v>
      </c>
      <c r="P33">
        <v>0.14599999999999999</v>
      </c>
      <c r="Q33">
        <v>0.66400000000000003</v>
      </c>
      <c r="R33">
        <v>145.363</v>
      </c>
      <c r="S33">
        <v>4</v>
      </c>
      <c r="T33" t="s">
        <v>4</v>
      </c>
    </row>
    <row r="34" spans="1:20" x14ac:dyDescent="0.3">
      <c r="A34" t="s">
        <v>105</v>
      </c>
      <c r="B34" t="s">
        <v>19</v>
      </c>
      <c r="C34" t="s">
        <v>106</v>
      </c>
      <c r="D34" t="s">
        <v>107</v>
      </c>
      <c r="E34">
        <v>0</v>
      </c>
      <c r="F34">
        <v>234186</v>
      </c>
      <c r="G34" t="b">
        <v>0</v>
      </c>
      <c r="H34">
        <v>0.59299999999999997</v>
      </c>
      <c r="I34">
        <v>0.45500000000000002</v>
      </c>
      <c r="J34">
        <v>6</v>
      </c>
      <c r="K34">
        <v>-8.1920000000000002</v>
      </c>
      <c r="L34">
        <v>1</v>
      </c>
      <c r="M34">
        <v>3.8800000000000001E-2</v>
      </c>
      <c r="N34">
        <v>0.36599999999999999</v>
      </c>
      <c r="O34">
        <v>0</v>
      </c>
      <c r="P34">
        <v>9.1399999999999995E-2</v>
      </c>
      <c r="Q34">
        <v>0.56399999999999995</v>
      </c>
      <c r="R34">
        <v>202.01900000000001</v>
      </c>
      <c r="S34">
        <v>4</v>
      </c>
      <c r="T34" t="s">
        <v>4</v>
      </c>
    </row>
    <row r="35" spans="1:20" x14ac:dyDescent="0.3">
      <c r="A35" t="s">
        <v>108</v>
      </c>
      <c r="B35" t="s">
        <v>109</v>
      </c>
      <c r="C35" t="s">
        <v>86</v>
      </c>
      <c r="D35" t="s">
        <v>110</v>
      </c>
      <c r="E35">
        <v>0</v>
      </c>
      <c r="F35">
        <v>259558</v>
      </c>
      <c r="G35" t="b">
        <v>0</v>
      </c>
      <c r="H35">
        <v>0.29599999999999999</v>
      </c>
      <c r="I35">
        <v>0.20599999999999999</v>
      </c>
      <c r="J35">
        <v>0</v>
      </c>
      <c r="K35">
        <v>-11.798999999999999</v>
      </c>
      <c r="L35">
        <v>1</v>
      </c>
      <c r="M35">
        <v>4.1200000000000001E-2</v>
      </c>
      <c r="N35">
        <v>0.78200000000000003</v>
      </c>
      <c r="O35">
        <v>2.2499999999999999E-4</v>
      </c>
      <c r="P35">
        <v>9.5899999999999999E-2</v>
      </c>
      <c r="Q35">
        <v>0.20200000000000001</v>
      </c>
      <c r="R35">
        <v>165.4</v>
      </c>
      <c r="S35">
        <v>4</v>
      </c>
      <c r="T35" t="s">
        <v>4</v>
      </c>
    </row>
    <row r="36" spans="1:20" x14ac:dyDescent="0.3">
      <c r="A36" t="s">
        <v>111</v>
      </c>
      <c r="B36" t="s">
        <v>109</v>
      </c>
      <c r="C36" t="s">
        <v>95</v>
      </c>
      <c r="D36" t="s">
        <v>110</v>
      </c>
      <c r="E36">
        <v>0</v>
      </c>
      <c r="F36">
        <v>259558</v>
      </c>
      <c r="G36" t="b">
        <v>0</v>
      </c>
      <c r="H36">
        <v>0.29599999999999999</v>
      </c>
      <c r="I36">
        <v>0.20599999999999999</v>
      </c>
      <c r="J36">
        <v>0</v>
      </c>
      <c r="K36">
        <v>-11.798999999999999</v>
      </c>
      <c r="L36">
        <v>1</v>
      </c>
      <c r="M36">
        <v>4.1200000000000001E-2</v>
      </c>
      <c r="N36">
        <v>0.78200000000000003</v>
      </c>
      <c r="O36">
        <v>2.2499999999999999E-4</v>
      </c>
      <c r="P36">
        <v>9.5899999999999999E-2</v>
      </c>
      <c r="Q36">
        <v>0.20200000000000001</v>
      </c>
      <c r="R36">
        <v>165.4</v>
      </c>
      <c r="S36">
        <v>4</v>
      </c>
      <c r="T36" t="s">
        <v>4</v>
      </c>
    </row>
    <row r="37" spans="1:20" x14ac:dyDescent="0.3">
      <c r="A37" t="s">
        <v>112</v>
      </c>
      <c r="B37" t="s">
        <v>109</v>
      </c>
      <c r="C37" t="s">
        <v>113</v>
      </c>
      <c r="D37" t="s">
        <v>110</v>
      </c>
      <c r="E37">
        <v>0</v>
      </c>
      <c r="F37">
        <v>259558</v>
      </c>
      <c r="G37" t="b">
        <v>0</v>
      </c>
      <c r="H37">
        <v>0.29599999999999999</v>
      </c>
      <c r="I37">
        <v>0.20599999999999999</v>
      </c>
      <c r="J37">
        <v>0</v>
      </c>
      <c r="K37">
        <v>-11.798999999999999</v>
      </c>
      <c r="L37">
        <v>1</v>
      </c>
      <c r="M37">
        <v>4.1200000000000001E-2</v>
      </c>
      <c r="N37">
        <v>0.78200000000000003</v>
      </c>
      <c r="O37">
        <v>2.2499999999999999E-4</v>
      </c>
      <c r="P37">
        <v>9.5899999999999999E-2</v>
      </c>
      <c r="Q37">
        <v>0.20200000000000001</v>
      </c>
      <c r="R37">
        <v>165.4</v>
      </c>
      <c r="S37">
        <v>4</v>
      </c>
      <c r="T37" t="s">
        <v>4</v>
      </c>
    </row>
    <row r="38" spans="1:20" x14ac:dyDescent="0.3">
      <c r="A38" t="s">
        <v>114</v>
      </c>
      <c r="B38" t="s">
        <v>115</v>
      </c>
      <c r="C38" t="s">
        <v>116</v>
      </c>
      <c r="D38" t="s">
        <v>117</v>
      </c>
      <c r="E38">
        <v>0</v>
      </c>
      <c r="F38">
        <v>257493</v>
      </c>
      <c r="G38" t="b">
        <v>0</v>
      </c>
      <c r="H38">
        <v>0.40899999999999997</v>
      </c>
      <c r="I38">
        <v>0.153</v>
      </c>
      <c r="J38">
        <v>6</v>
      </c>
      <c r="K38">
        <v>-10.74</v>
      </c>
      <c r="L38">
        <v>0</v>
      </c>
      <c r="M38">
        <v>3.0599999999999999E-2</v>
      </c>
      <c r="N38">
        <v>0.93899999999999995</v>
      </c>
      <c r="O38" s="9" t="s">
        <v>118</v>
      </c>
      <c r="P38">
        <v>0.108</v>
      </c>
      <c r="Q38">
        <v>0.18</v>
      </c>
      <c r="R38">
        <v>85.262</v>
      </c>
      <c r="S38">
        <v>4</v>
      </c>
      <c r="T38" t="s">
        <v>4</v>
      </c>
    </row>
    <row r="39" spans="1:20" x14ac:dyDescent="0.3">
      <c r="A39" t="s">
        <v>119</v>
      </c>
      <c r="B39" t="s">
        <v>120</v>
      </c>
      <c r="C39" t="s">
        <v>121</v>
      </c>
      <c r="D39" t="s">
        <v>122</v>
      </c>
      <c r="E39">
        <v>0</v>
      </c>
      <c r="F39">
        <v>247791</v>
      </c>
      <c r="G39" t="b">
        <v>0</v>
      </c>
      <c r="H39">
        <v>0.501</v>
      </c>
      <c r="I39">
        <v>9.5200000000000007E-2</v>
      </c>
      <c r="J39">
        <v>2</v>
      </c>
      <c r="K39">
        <v>-12.930999999999999</v>
      </c>
      <c r="L39">
        <v>1</v>
      </c>
      <c r="M39">
        <v>5.3999999999999999E-2</v>
      </c>
      <c r="N39">
        <v>0.96299999999999997</v>
      </c>
      <c r="O39" s="9" t="s">
        <v>123</v>
      </c>
      <c r="P39">
        <v>9.1499999999999998E-2</v>
      </c>
      <c r="Q39">
        <v>0.316</v>
      </c>
      <c r="R39">
        <v>138.01599999999999</v>
      </c>
      <c r="S39">
        <v>4</v>
      </c>
      <c r="T39" t="s">
        <v>4</v>
      </c>
    </row>
    <row r="40" spans="1:20" x14ac:dyDescent="0.3">
      <c r="A40" t="s">
        <v>124</v>
      </c>
      <c r="B40" t="s">
        <v>120</v>
      </c>
      <c r="C40" t="s">
        <v>82</v>
      </c>
      <c r="D40" t="s">
        <v>125</v>
      </c>
      <c r="E40">
        <v>0</v>
      </c>
      <c r="F40">
        <v>206267</v>
      </c>
      <c r="G40" t="b">
        <v>0</v>
      </c>
      <c r="H40">
        <v>0.60599999999999998</v>
      </c>
      <c r="I40">
        <v>0.32600000000000001</v>
      </c>
      <c r="J40">
        <v>10</v>
      </c>
      <c r="K40">
        <v>-10.031000000000001</v>
      </c>
      <c r="L40">
        <v>1</v>
      </c>
      <c r="M40">
        <v>2.9399999999999999E-2</v>
      </c>
      <c r="N40">
        <v>0.84099999999999997</v>
      </c>
      <c r="O40">
        <v>0</v>
      </c>
      <c r="P40">
        <v>0.13900000000000001</v>
      </c>
      <c r="Q40">
        <v>0.41399999999999998</v>
      </c>
      <c r="R40">
        <v>91.626000000000005</v>
      </c>
      <c r="S40">
        <v>4</v>
      </c>
      <c r="T40" t="s">
        <v>4</v>
      </c>
    </row>
    <row r="41" spans="1:20" x14ac:dyDescent="0.3">
      <c r="A41" t="s">
        <v>126</v>
      </c>
      <c r="B41" t="s">
        <v>115</v>
      </c>
      <c r="C41" t="s">
        <v>127</v>
      </c>
      <c r="D41" t="s">
        <v>117</v>
      </c>
      <c r="E41">
        <v>0</v>
      </c>
      <c r="F41">
        <v>257493</v>
      </c>
      <c r="G41" t="b">
        <v>0</v>
      </c>
      <c r="H41">
        <v>0.40899999999999997</v>
      </c>
      <c r="I41">
        <v>0.153</v>
      </c>
      <c r="J41">
        <v>6</v>
      </c>
      <c r="K41">
        <v>-10.74</v>
      </c>
      <c r="L41">
        <v>0</v>
      </c>
      <c r="M41">
        <v>3.0599999999999999E-2</v>
      </c>
      <c r="N41">
        <v>0.93899999999999995</v>
      </c>
      <c r="O41" s="9" t="s">
        <v>118</v>
      </c>
      <c r="P41">
        <v>0.108</v>
      </c>
      <c r="Q41">
        <v>0.18</v>
      </c>
      <c r="R41">
        <v>85.262</v>
      </c>
      <c r="S41">
        <v>4</v>
      </c>
      <c r="T41" t="s">
        <v>4</v>
      </c>
    </row>
    <row r="42" spans="1:20" x14ac:dyDescent="0.3">
      <c r="A42" t="s">
        <v>128</v>
      </c>
      <c r="B42" t="s">
        <v>129</v>
      </c>
      <c r="C42" t="s">
        <v>130</v>
      </c>
      <c r="D42" t="s">
        <v>131</v>
      </c>
      <c r="E42">
        <v>0</v>
      </c>
      <c r="F42">
        <v>306794</v>
      </c>
      <c r="G42" t="b">
        <v>0</v>
      </c>
      <c r="H42">
        <v>0.47399999999999998</v>
      </c>
      <c r="I42">
        <v>0.51900000000000002</v>
      </c>
      <c r="J42">
        <v>7</v>
      </c>
      <c r="K42">
        <v>-5.2910000000000004</v>
      </c>
      <c r="L42">
        <v>1</v>
      </c>
      <c r="M42">
        <v>2.53E-2</v>
      </c>
      <c r="N42">
        <v>0.28100000000000003</v>
      </c>
      <c r="O42">
        <v>0</v>
      </c>
      <c r="P42">
        <v>0.107</v>
      </c>
      <c r="Q42">
        <v>0.32600000000000001</v>
      </c>
      <c r="R42">
        <v>151.83199999999999</v>
      </c>
      <c r="S42">
        <v>4</v>
      </c>
      <c r="T42" t="s">
        <v>4</v>
      </c>
    </row>
    <row r="43" spans="1:20" x14ac:dyDescent="0.3">
      <c r="A43" t="s">
        <v>132</v>
      </c>
      <c r="B43" t="s">
        <v>120</v>
      </c>
      <c r="C43" t="s">
        <v>89</v>
      </c>
      <c r="D43" t="s">
        <v>133</v>
      </c>
      <c r="E43">
        <v>0</v>
      </c>
      <c r="F43">
        <v>266960</v>
      </c>
      <c r="G43" t="b">
        <v>0</v>
      </c>
      <c r="H43">
        <v>0.56799999999999995</v>
      </c>
      <c r="I43">
        <v>0.30099999999999999</v>
      </c>
      <c r="J43">
        <v>10</v>
      </c>
      <c r="K43">
        <v>-10.163</v>
      </c>
      <c r="L43">
        <v>0</v>
      </c>
      <c r="M43">
        <v>3.73E-2</v>
      </c>
      <c r="N43">
        <v>0.79600000000000004</v>
      </c>
      <c r="O43" s="9" t="s">
        <v>134</v>
      </c>
      <c r="P43">
        <v>0.11799999999999999</v>
      </c>
      <c r="Q43">
        <v>0.14199999999999999</v>
      </c>
      <c r="R43">
        <v>88.028999999999996</v>
      </c>
      <c r="S43">
        <v>4</v>
      </c>
      <c r="T43" t="s">
        <v>4</v>
      </c>
    </row>
    <row r="44" spans="1:20" x14ac:dyDescent="0.3">
      <c r="A44" t="s">
        <v>135</v>
      </c>
      <c r="B44" t="s">
        <v>136</v>
      </c>
      <c r="C44" t="s">
        <v>137</v>
      </c>
      <c r="D44" t="s">
        <v>138</v>
      </c>
      <c r="E44">
        <v>0</v>
      </c>
      <c r="F44">
        <v>230098</v>
      </c>
      <c r="G44" t="b">
        <v>0</v>
      </c>
      <c r="H44">
        <v>0.56799999999999995</v>
      </c>
      <c r="I44">
        <v>0.68600000000000005</v>
      </c>
      <c r="J44">
        <v>1</v>
      </c>
      <c r="K44">
        <v>-6.6349999999999998</v>
      </c>
      <c r="L44">
        <v>1</v>
      </c>
      <c r="M44">
        <v>3.3000000000000002E-2</v>
      </c>
      <c r="N44">
        <v>0.15</v>
      </c>
      <c r="O44" s="9" t="s">
        <v>139</v>
      </c>
      <c r="P44">
        <v>8.8099999999999998E-2</v>
      </c>
      <c r="Q44">
        <v>0.72499999999999998</v>
      </c>
      <c r="R44">
        <v>172.07499999999999</v>
      </c>
      <c r="S44">
        <v>4</v>
      </c>
      <c r="T44" t="s">
        <v>4</v>
      </c>
    </row>
    <row r="45" spans="1:20" x14ac:dyDescent="0.3">
      <c r="A45" t="s">
        <v>140</v>
      </c>
      <c r="B45" t="s">
        <v>136</v>
      </c>
      <c r="C45" t="s">
        <v>141</v>
      </c>
      <c r="D45" t="s">
        <v>138</v>
      </c>
      <c r="E45">
        <v>0</v>
      </c>
      <c r="F45">
        <v>230098</v>
      </c>
      <c r="G45" t="b">
        <v>0</v>
      </c>
      <c r="H45">
        <v>0.56799999999999995</v>
      </c>
      <c r="I45">
        <v>0.68600000000000005</v>
      </c>
      <c r="J45">
        <v>1</v>
      </c>
      <c r="K45">
        <v>-6.6349999999999998</v>
      </c>
      <c r="L45">
        <v>1</v>
      </c>
      <c r="M45">
        <v>3.3000000000000002E-2</v>
      </c>
      <c r="N45">
        <v>0.15</v>
      </c>
      <c r="O45" s="9" t="s">
        <v>139</v>
      </c>
      <c r="P45">
        <v>8.8099999999999998E-2</v>
      </c>
      <c r="Q45">
        <v>0.72499999999999998</v>
      </c>
      <c r="R45">
        <v>172.07499999999999</v>
      </c>
      <c r="S45">
        <v>4</v>
      </c>
      <c r="T45" t="s">
        <v>4</v>
      </c>
    </row>
    <row r="46" spans="1:20" x14ac:dyDescent="0.3">
      <c r="A46" t="s">
        <v>142</v>
      </c>
      <c r="B46" t="s">
        <v>120</v>
      </c>
      <c r="C46" t="s">
        <v>143</v>
      </c>
      <c r="D46" t="s">
        <v>144</v>
      </c>
      <c r="E46">
        <v>0</v>
      </c>
      <c r="F46">
        <v>193943</v>
      </c>
      <c r="G46" t="b">
        <v>0</v>
      </c>
      <c r="H46">
        <v>0.47599999999999998</v>
      </c>
      <c r="I46">
        <v>0.66600000000000004</v>
      </c>
      <c r="J46">
        <v>6</v>
      </c>
      <c r="K46">
        <v>-3.4380000000000002</v>
      </c>
      <c r="L46">
        <v>1</v>
      </c>
      <c r="M46">
        <v>4.4600000000000001E-2</v>
      </c>
      <c r="N46">
        <v>0.314</v>
      </c>
      <c r="O46">
        <v>0</v>
      </c>
      <c r="P46">
        <v>0.34200000000000003</v>
      </c>
      <c r="Q46">
        <v>0.498</v>
      </c>
      <c r="R46">
        <v>148.155</v>
      </c>
      <c r="S46">
        <v>4</v>
      </c>
      <c r="T46" t="s">
        <v>4</v>
      </c>
    </row>
    <row r="47" spans="1:20" x14ac:dyDescent="0.3">
      <c r="A47" t="s">
        <v>145</v>
      </c>
      <c r="B47" t="s">
        <v>136</v>
      </c>
      <c r="C47" t="s">
        <v>146</v>
      </c>
      <c r="D47" t="s">
        <v>138</v>
      </c>
      <c r="E47">
        <v>0</v>
      </c>
      <c r="F47">
        <v>230098</v>
      </c>
      <c r="G47" t="b">
        <v>0</v>
      </c>
      <c r="H47">
        <v>0.56799999999999995</v>
      </c>
      <c r="I47">
        <v>0.68600000000000005</v>
      </c>
      <c r="J47">
        <v>1</v>
      </c>
      <c r="K47">
        <v>-6.6349999999999998</v>
      </c>
      <c r="L47">
        <v>1</v>
      </c>
      <c r="M47">
        <v>3.3000000000000002E-2</v>
      </c>
      <c r="N47">
        <v>0.15</v>
      </c>
      <c r="O47" s="9" t="s">
        <v>139</v>
      </c>
      <c r="P47">
        <v>8.8099999999999998E-2</v>
      </c>
      <c r="Q47">
        <v>0.72499999999999998</v>
      </c>
      <c r="R47">
        <v>172.07499999999999</v>
      </c>
      <c r="S47">
        <v>4</v>
      </c>
      <c r="T47" t="s">
        <v>4</v>
      </c>
    </row>
    <row r="48" spans="1:20" x14ac:dyDescent="0.3">
      <c r="A48" t="s">
        <v>147</v>
      </c>
      <c r="B48" t="s">
        <v>136</v>
      </c>
      <c r="C48" t="s">
        <v>148</v>
      </c>
      <c r="D48" t="s">
        <v>138</v>
      </c>
      <c r="E48">
        <v>0</v>
      </c>
      <c r="F48">
        <v>230098</v>
      </c>
      <c r="G48" t="b">
        <v>0</v>
      </c>
      <c r="H48">
        <v>0.56799999999999995</v>
      </c>
      <c r="I48">
        <v>0.68600000000000005</v>
      </c>
      <c r="J48">
        <v>1</v>
      </c>
      <c r="K48">
        <v>-6.6349999999999998</v>
      </c>
      <c r="L48">
        <v>1</v>
      </c>
      <c r="M48">
        <v>3.3000000000000002E-2</v>
      </c>
      <c r="N48">
        <v>0.15</v>
      </c>
      <c r="O48" s="9" t="s">
        <v>139</v>
      </c>
      <c r="P48">
        <v>8.8099999999999998E-2</v>
      </c>
      <c r="Q48">
        <v>0.72499999999999998</v>
      </c>
      <c r="R48">
        <v>172.07499999999999</v>
      </c>
      <c r="S48">
        <v>4</v>
      </c>
      <c r="T48" t="s">
        <v>4</v>
      </c>
    </row>
    <row r="49" spans="1:20" x14ac:dyDescent="0.3">
      <c r="A49" t="s">
        <v>149</v>
      </c>
      <c r="B49" t="s">
        <v>136</v>
      </c>
      <c r="C49" t="s">
        <v>150</v>
      </c>
      <c r="D49" t="s">
        <v>138</v>
      </c>
      <c r="E49">
        <v>0</v>
      </c>
      <c r="F49">
        <v>230098</v>
      </c>
      <c r="G49" t="b">
        <v>0</v>
      </c>
      <c r="H49">
        <v>0.56799999999999995</v>
      </c>
      <c r="I49">
        <v>0.68600000000000005</v>
      </c>
      <c r="J49">
        <v>1</v>
      </c>
      <c r="K49">
        <v>-6.6349999999999998</v>
      </c>
      <c r="L49">
        <v>1</v>
      </c>
      <c r="M49">
        <v>3.3000000000000002E-2</v>
      </c>
      <c r="N49">
        <v>0.15</v>
      </c>
      <c r="O49" s="9" t="s">
        <v>139</v>
      </c>
      <c r="P49">
        <v>8.8099999999999998E-2</v>
      </c>
      <c r="Q49">
        <v>0.72499999999999998</v>
      </c>
      <c r="R49">
        <v>172.07499999999999</v>
      </c>
      <c r="S49">
        <v>4</v>
      </c>
      <c r="T49" t="s">
        <v>4</v>
      </c>
    </row>
    <row r="50" spans="1:20" x14ac:dyDescent="0.3">
      <c r="A50" t="s">
        <v>151</v>
      </c>
      <c r="B50" t="s">
        <v>136</v>
      </c>
      <c r="C50" t="s">
        <v>152</v>
      </c>
      <c r="D50" t="s">
        <v>138</v>
      </c>
      <c r="E50">
        <v>0</v>
      </c>
      <c r="F50">
        <v>230098</v>
      </c>
      <c r="G50" t="b">
        <v>0</v>
      </c>
      <c r="H50">
        <v>0.56799999999999995</v>
      </c>
      <c r="I50">
        <v>0.68600000000000005</v>
      </c>
      <c r="J50">
        <v>1</v>
      </c>
      <c r="K50">
        <v>-6.6349999999999998</v>
      </c>
      <c r="L50">
        <v>1</v>
      </c>
      <c r="M50">
        <v>3.3000000000000002E-2</v>
      </c>
      <c r="N50">
        <v>0.15</v>
      </c>
      <c r="O50" s="9" t="s">
        <v>139</v>
      </c>
      <c r="P50">
        <v>8.8099999999999998E-2</v>
      </c>
      <c r="Q50">
        <v>0.72499999999999998</v>
      </c>
      <c r="R50">
        <v>172.07499999999999</v>
      </c>
      <c r="S50">
        <v>4</v>
      </c>
      <c r="T50" t="s">
        <v>4</v>
      </c>
    </row>
    <row r="51" spans="1:20" x14ac:dyDescent="0.3">
      <c r="A51" t="s">
        <v>153</v>
      </c>
      <c r="B51" t="s">
        <v>136</v>
      </c>
      <c r="C51" t="s">
        <v>154</v>
      </c>
      <c r="D51" t="s">
        <v>138</v>
      </c>
      <c r="E51">
        <v>0</v>
      </c>
      <c r="F51">
        <v>230098</v>
      </c>
      <c r="G51" t="b">
        <v>0</v>
      </c>
      <c r="H51">
        <v>0.56799999999999995</v>
      </c>
      <c r="I51">
        <v>0.68600000000000005</v>
      </c>
      <c r="J51">
        <v>1</v>
      </c>
      <c r="K51">
        <v>-6.6349999999999998</v>
      </c>
      <c r="L51">
        <v>1</v>
      </c>
      <c r="M51">
        <v>3.3000000000000002E-2</v>
      </c>
      <c r="N51">
        <v>0.15</v>
      </c>
      <c r="O51" s="9" t="s">
        <v>139</v>
      </c>
      <c r="P51">
        <v>8.8099999999999998E-2</v>
      </c>
      <c r="Q51">
        <v>0.72499999999999998</v>
      </c>
      <c r="R51">
        <v>172.07499999999999</v>
      </c>
      <c r="S51">
        <v>4</v>
      </c>
      <c r="T51" t="s">
        <v>4</v>
      </c>
    </row>
    <row r="52" spans="1:20" x14ac:dyDescent="0.3">
      <c r="A52" t="s">
        <v>155</v>
      </c>
      <c r="B52" t="s">
        <v>156</v>
      </c>
      <c r="C52" t="s">
        <v>157</v>
      </c>
      <c r="D52" t="s">
        <v>158</v>
      </c>
      <c r="E52">
        <v>46</v>
      </c>
      <c r="F52">
        <v>213098</v>
      </c>
      <c r="G52" t="b">
        <v>0</v>
      </c>
      <c r="H52">
        <v>0.59599999999999997</v>
      </c>
      <c r="I52">
        <v>0.2</v>
      </c>
      <c r="J52">
        <v>0</v>
      </c>
      <c r="K52">
        <v>-10.423999999999999</v>
      </c>
      <c r="L52">
        <v>0</v>
      </c>
      <c r="M52">
        <v>3.0499999999999999E-2</v>
      </c>
      <c r="N52">
        <v>0.91</v>
      </c>
      <c r="O52">
        <v>1.83E-4</v>
      </c>
      <c r="P52">
        <v>8.8400000000000006E-2</v>
      </c>
      <c r="Q52">
        <v>0.308</v>
      </c>
      <c r="R52">
        <v>107.893</v>
      </c>
      <c r="S52">
        <v>4</v>
      </c>
      <c r="T52" t="s">
        <v>4</v>
      </c>
    </row>
    <row r="53" spans="1:20" x14ac:dyDescent="0.3">
      <c r="A53" t="s">
        <v>159</v>
      </c>
      <c r="B53" t="s">
        <v>160</v>
      </c>
      <c r="C53" t="s">
        <v>161</v>
      </c>
      <c r="D53" t="s">
        <v>162</v>
      </c>
      <c r="E53">
        <v>61</v>
      </c>
      <c r="F53">
        <v>232360</v>
      </c>
      <c r="G53" t="b">
        <v>0</v>
      </c>
      <c r="H53">
        <v>0.373</v>
      </c>
      <c r="I53">
        <v>0.91400000000000003</v>
      </c>
      <c r="J53">
        <v>0</v>
      </c>
      <c r="K53">
        <v>-4.1849999999999996</v>
      </c>
      <c r="L53">
        <v>1</v>
      </c>
      <c r="M53">
        <v>5.6500000000000002E-2</v>
      </c>
      <c r="N53">
        <v>7.5999999999999998E-2</v>
      </c>
      <c r="O53">
        <v>0</v>
      </c>
      <c r="P53">
        <v>0.66900000000000004</v>
      </c>
      <c r="Q53">
        <v>0.56000000000000005</v>
      </c>
      <c r="R53">
        <v>168.21</v>
      </c>
      <c r="S53">
        <v>4</v>
      </c>
      <c r="T53" t="s">
        <v>4</v>
      </c>
    </row>
    <row r="54" spans="1:20" x14ac:dyDescent="0.3">
      <c r="A54" t="s">
        <v>163</v>
      </c>
      <c r="B54" t="s">
        <v>164</v>
      </c>
      <c r="C54" t="s">
        <v>165</v>
      </c>
      <c r="D54" t="s">
        <v>166</v>
      </c>
      <c r="E54">
        <v>60</v>
      </c>
      <c r="F54">
        <v>241119</v>
      </c>
      <c r="G54" t="b">
        <v>0</v>
      </c>
      <c r="H54">
        <v>0.49399999999999999</v>
      </c>
      <c r="I54">
        <v>0.65200000000000002</v>
      </c>
      <c r="J54">
        <v>6</v>
      </c>
      <c r="K54">
        <v>-5.8630000000000004</v>
      </c>
      <c r="L54">
        <v>0</v>
      </c>
      <c r="M54">
        <v>3.1399999999999997E-2</v>
      </c>
      <c r="N54">
        <v>7.5399999999999995E-2</v>
      </c>
      <c r="O54">
        <v>2.5600000000000002E-3</v>
      </c>
      <c r="P54">
        <v>0.125</v>
      </c>
      <c r="Q54">
        <v>0.29799999999999999</v>
      </c>
      <c r="R54">
        <v>137.018</v>
      </c>
      <c r="S54">
        <v>4</v>
      </c>
      <c r="T54" t="s">
        <v>4</v>
      </c>
    </row>
    <row r="55" spans="1:20" x14ac:dyDescent="0.3">
      <c r="A55" t="s">
        <v>167</v>
      </c>
      <c r="B55" t="s">
        <v>168</v>
      </c>
      <c r="C55" t="s">
        <v>169</v>
      </c>
      <c r="D55" t="s">
        <v>170</v>
      </c>
      <c r="E55">
        <v>68</v>
      </c>
      <c r="F55">
        <v>220239</v>
      </c>
      <c r="G55" t="b">
        <v>0</v>
      </c>
      <c r="H55">
        <v>0.44700000000000001</v>
      </c>
      <c r="I55">
        <v>0.39300000000000002</v>
      </c>
      <c r="J55">
        <v>5</v>
      </c>
      <c r="K55">
        <v>-8.65</v>
      </c>
      <c r="L55">
        <v>1</v>
      </c>
      <c r="M55">
        <v>3.7999999999999999E-2</v>
      </c>
      <c r="N55">
        <v>0.78500000000000003</v>
      </c>
      <c r="O55">
        <v>0</v>
      </c>
      <c r="P55">
        <v>0.28000000000000003</v>
      </c>
      <c r="Q55">
        <v>0.56399999999999995</v>
      </c>
      <c r="R55">
        <v>73.138999999999996</v>
      </c>
      <c r="S55">
        <v>3</v>
      </c>
      <c r="T55" t="s">
        <v>4</v>
      </c>
    </row>
    <row r="56" spans="1:20" x14ac:dyDescent="0.3">
      <c r="A56" t="s">
        <v>171</v>
      </c>
      <c r="B56" t="s">
        <v>172</v>
      </c>
      <c r="C56" t="s">
        <v>173</v>
      </c>
      <c r="D56" t="s">
        <v>174</v>
      </c>
      <c r="E56">
        <v>52</v>
      </c>
      <c r="F56">
        <v>171543</v>
      </c>
      <c r="G56" t="b">
        <v>0</v>
      </c>
      <c r="H56">
        <v>0.57599999999999996</v>
      </c>
      <c r="I56">
        <v>0.33100000000000002</v>
      </c>
      <c r="J56">
        <v>6</v>
      </c>
      <c r="K56">
        <v>-9.3889999999999993</v>
      </c>
      <c r="L56">
        <v>0</v>
      </c>
      <c r="M56">
        <v>3.0599999999999999E-2</v>
      </c>
      <c r="N56">
        <v>0.89400000000000002</v>
      </c>
      <c r="O56" s="9" t="s">
        <v>175</v>
      </c>
      <c r="P56">
        <v>0.129</v>
      </c>
      <c r="Q56">
        <v>0.40699999999999997</v>
      </c>
      <c r="R56">
        <v>149.02000000000001</v>
      </c>
      <c r="S56">
        <v>4</v>
      </c>
      <c r="T56" t="s">
        <v>4</v>
      </c>
    </row>
    <row r="57" spans="1:20" x14ac:dyDescent="0.3">
      <c r="A57" t="s">
        <v>176</v>
      </c>
      <c r="B57" t="s">
        <v>164</v>
      </c>
      <c r="C57" t="s">
        <v>165</v>
      </c>
      <c r="D57" t="s">
        <v>177</v>
      </c>
      <c r="E57">
        <v>62</v>
      </c>
      <c r="F57">
        <v>286865</v>
      </c>
      <c r="G57" t="b">
        <v>0</v>
      </c>
      <c r="H57">
        <v>0.53600000000000003</v>
      </c>
      <c r="I57">
        <v>0.89</v>
      </c>
      <c r="J57">
        <v>1</v>
      </c>
      <c r="K57">
        <v>-5.2220000000000004</v>
      </c>
      <c r="L57">
        <v>1</v>
      </c>
      <c r="M57">
        <v>3.7499999999999999E-2</v>
      </c>
      <c r="N57">
        <v>7.8E-2</v>
      </c>
      <c r="O57">
        <v>2.0199999999999999E-2</v>
      </c>
      <c r="P57">
        <v>0.13100000000000001</v>
      </c>
      <c r="Q57">
        <v>0.27300000000000002</v>
      </c>
      <c r="R57">
        <v>121.974</v>
      </c>
      <c r="S57">
        <v>4</v>
      </c>
      <c r="T57" t="s">
        <v>4</v>
      </c>
    </row>
    <row r="58" spans="1:20" x14ac:dyDescent="0.3">
      <c r="A58" t="s">
        <v>178</v>
      </c>
      <c r="B58" t="s">
        <v>179</v>
      </c>
      <c r="C58" t="s">
        <v>180</v>
      </c>
      <c r="D58" t="s">
        <v>180</v>
      </c>
      <c r="E58">
        <v>51</v>
      </c>
      <c r="F58">
        <v>234473</v>
      </c>
      <c r="G58" t="b">
        <v>0</v>
      </c>
      <c r="H58">
        <v>0.52600000000000002</v>
      </c>
      <c r="I58">
        <v>0.33300000000000002</v>
      </c>
      <c r="J58">
        <v>4</v>
      </c>
      <c r="K58">
        <v>-13.02</v>
      </c>
      <c r="L58">
        <v>1</v>
      </c>
      <c r="M58">
        <v>3.1399999999999997E-2</v>
      </c>
      <c r="N58">
        <v>0.91</v>
      </c>
      <c r="O58">
        <v>0.16800000000000001</v>
      </c>
      <c r="P58">
        <v>0.111</v>
      </c>
      <c r="Q58">
        <v>0.159</v>
      </c>
      <c r="R58">
        <v>94.950999999999993</v>
      </c>
      <c r="S58">
        <v>4</v>
      </c>
      <c r="T58" t="s">
        <v>4</v>
      </c>
    </row>
    <row r="59" spans="1:20" x14ac:dyDescent="0.3">
      <c r="A59" t="s">
        <v>181</v>
      </c>
      <c r="B59" t="s">
        <v>19</v>
      </c>
      <c r="C59" t="s">
        <v>182</v>
      </c>
      <c r="D59" t="s">
        <v>182</v>
      </c>
      <c r="E59">
        <v>0</v>
      </c>
      <c r="F59">
        <v>216000</v>
      </c>
      <c r="G59" t="b">
        <v>0</v>
      </c>
      <c r="H59">
        <v>0.501</v>
      </c>
      <c r="I59">
        <v>0.38100000000000001</v>
      </c>
      <c r="J59">
        <v>0</v>
      </c>
      <c r="K59">
        <v>-9.4480000000000004</v>
      </c>
      <c r="L59">
        <v>1</v>
      </c>
      <c r="M59">
        <v>3.5999999999999997E-2</v>
      </c>
      <c r="N59">
        <v>0.68700000000000006</v>
      </c>
      <c r="O59">
        <v>1.33E-3</v>
      </c>
      <c r="P59">
        <v>0.11899999999999999</v>
      </c>
      <c r="Q59">
        <v>0.502</v>
      </c>
      <c r="R59">
        <v>80.075000000000003</v>
      </c>
      <c r="S59">
        <v>4</v>
      </c>
      <c r="T59" t="s">
        <v>4</v>
      </c>
    </row>
    <row r="60" spans="1:20" x14ac:dyDescent="0.3">
      <c r="A60" t="s">
        <v>183</v>
      </c>
      <c r="B60" t="s">
        <v>184</v>
      </c>
      <c r="C60" t="s">
        <v>185</v>
      </c>
      <c r="D60" t="s">
        <v>186</v>
      </c>
      <c r="E60">
        <v>67</v>
      </c>
      <c r="F60">
        <v>232760</v>
      </c>
      <c r="G60" t="b">
        <v>0</v>
      </c>
      <c r="H60">
        <v>0.27</v>
      </c>
      <c r="I60">
        <v>0.27500000000000002</v>
      </c>
      <c r="J60">
        <v>0</v>
      </c>
      <c r="K60">
        <v>-10.356999999999999</v>
      </c>
      <c r="L60">
        <v>1</v>
      </c>
      <c r="M60">
        <v>3.56E-2</v>
      </c>
      <c r="N60">
        <v>0.83399999999999996</v>
      </c>
      <c r="O60">
        <v>0</v>
      </c>
      <c r="P60">
        <v>0.14599999999999999</v>
      </c>
      <c r="Q60">
        <v>0.23100000000000001</v>
      </c>
      <c r="R60">
        <v>168.964</v>
      </c>
      <c r="S60">
        <v>4</v>
      </c>
      <c r="T60" t="s">
        <v>4</v>
      </c>
    </row>
    <row r="61" spans="1:20" x14ac:dyDescent="0.3">
      <c r="A61" t="s">
        <v>187</v>
      </c>
      <c r="B61" t="s">
        <v>19</v>
      </c>
      <c r="C61" t="s">
        <v>188</v>
      </c>
      <c r="D61" t="s">
        <v>188</v>
      </c>
      <c r="E61">
        <v>57</v>
      </c>
      <c r="F61">
        <v>178600</v>
      </c>
      <c r="G61" t="b">
        <v>1</v>
      </c>
      <c r="H61">
        <v>0.73099999999999998</v>
      </c>
      <c r="I61">
        <v>0.50700000000000001</v>
      </c>
      <c r="J61">
        <v>0</v>
      </c>
      <c r="K61">
        <v>-6.4770000000000003</v>
      </c>
      <c r="L61">
        <v>1</v>
      </c>
      <c r="M61">
        <v>4.5999999999999999E-2</v>
      </c>
      <c r="N61">
        <v>0.57199999999999995</v>
      </c>
      <c r="O61">
        <v>0</v>
      </c>
      <c r="P61">
        <v>9.1200000000000003E-2</v>
      </c>
      <c r="Q61">
        <v>0.26500000000000001</v>
      </c>
      <c r="R61">
        <v>117.96899999999999</v>
      </c>
      <c r="S61">
        <v>4</v>
      </c>
      <c r="T61" t="s">
        <v>4</v>
      </c>
    </row>
    <row r="62" spans="1:20" x14ac:dyDescent="0.3">
      <c r="A62" t="s">
        <v>189</v>
      </c>
      <c r="B62" t="s">
        <v>40</v>
      </c>
      <c r="C62" t="s">
        <v>190</v>
      </c>
      <c r="D62" t="s">
        <v>190</v>
      </c>
      <c r="E62">
        <v>75</v>
      </c>
      <c r="F62">
        <v>254400</v>
      </c>
      <c r="G62" t="b">
        <v>0</v>
      </c>
      <c r="H62">
        <v>0.375</v>
      </c>
      <c r="I62">
        <v>0.45700000000000002</v>
      </c>
      <c r="J62">
        <v>3</v>
      </c>
      <c r="K62">
        <v>-7.0179999999999998</v>
      </c>
      <c r="L62">
        <v>1</v>
      </c>
      <c r="M62">
        <v>3.15E-2</v>
      </c>
      <c r="N62">
        <v>0.86799999999999999</v>
      </c>
      <c r="O62">
        <v>1.4500000000000001E-2</v>
      </c>
      <c r="P62">
        <v>0.191</v>
      </c>
      <c r="Q62">
        <v>0.41499999999999998</v>
      </c>
      <c r="R62">
        <v>174.839</v>
      </c>
      <c r="S62">
        <v>3</v>
      </c>
      <c r="T62" t="s">
        <v>4</v>
      </c>
    </row>
    <row r="63" spans="1:20" x14ac:dyDescent="0.3">
      <c r="A63" t="s">
        <v>191</v>
      </c>
      <c r="B63" t="s">
        <v>164</v>
      </c>
      <c r="C63" t="s">
        <v>192</v>
      </c>
      <c r="D63" t="s">
        <v>193</v>
      </c>
      <c r="E63">
        <v>62</v>
      </c>
      <c r="F63">
        <v>244320</v>
      </c>
      <c r="G63" t="b">
        <v>0</v>
      </c>
      <c r="H63">
        <v>0.43</v>
      </c>
      <c r="I63">
        <v>0.79100000000000004</v>
      </c>
      <c r="J63">
        <v>6</v>
      </c>
      <c r="K63">
        <v>-5.4189999999999996</v>
      </c>
      <c r="L63">
        <v>0</v>
      </c>
      <c r="M63">
        <v>3.0200000000000001E-2</v>
      </c>
      <c r="N63">
        <v>7.2599999999999998E-2</v>
      </c>
      <c r="O63">
        <v>1.9300000000000001E-2</v>
      </c>
      <c r="P63">
        <v>0.11</v>
      </c>
      <c r="Q63">
        <v>0.217</v>
      </c>
      <c r="R63">
        <v>171.864</v>
      </c>
      <c r="S63">
        <v>4</v>
      </c>
      <c r="T63" t="s">
        <v>4</v>
      </c>
    </row>
    <row r="64" spans="1:20" x14ac:dyDescent="0.3">
      <c r="A64" t="s">
        <v>194</v>
      </c>
      <c r="B64" t="s">
        <v>195</v>
      </c>
      <c r="C64" t="s">
        <v>196</v>
      </c>
      <c r="D64" t="s">
        <v>197</v>
      </c>
      <c r="E64">
        <v>66</v>
      </c>
      <c r="F64">
        <v>124933</v>
      </c>
      <c r="G64" t="b">
        <v>0</v>
      </c>
      <c r="H64">
        <v>0.61599999999999999</v>
      </c>
      <c r="I64">
        <v>0.28199999999999997</v>
      </c>
      <c r="J64">
        <v>1</v>
      </c>
      <c r="K64">
        <v>-15.317</v>
      </c>
      <c r="L64">
        <v>1</v>
      </c>
      <c r="M64">
        <v>3.3099999999999997E-2</v>
      </c>
      <c r="N64">
        <v>0.98299999999999998</v>
      </c>
      <c r="O64">
        <v>0.83299999999999996</v>
      </c>
      <c r="P64">
        <v>0.13</v>
      </c>
      <c r="Q64">
        <v>0.435</v>
      </c>
      <c r="R64">
        <v>96.638000000000005</v>
      </c>
      <c r="S64">
        <v>4</v>
      </c>
      <c r="T64" t="s">
        <v>4</v>
      </c>
    </row>
    <row r="65" spans="1:20" x14ac:dyDescent="0.3">
      <c r="A65" t="s">
        <v>198</v>
      </c>
      <c r="B65" t="s">
        <v>71</v>
      </c>
      <c r="C65" t="s">
        <v>77</v>
      </c>
      <c r="D65" t="s">
        <v>199</v>
      </c>
      <c r="E65">
        <v>64</v>
      </c>
      <c r="F65">
        <v>222146</v>
      </c>
      <c r="G65" t="b">
        <v>0</v>
      </c>
      <c r="H65">
        <v>0.70499999999999996</v>
      </c>
      <c r="I65">
        <v>0.34699999999999998</v>
      </c>
      <c r="J65">
        <v>2</v>
      </c>
      <c r="K65">
        <v>-8.2490000000000006</v>
      </c>
      <c r="L65">
        <v>1</v>
      </c>
      <c r="M65">
        <v>3.0099999999999998E-2</v>
      </c>
      <c r="N65">
        <v>0.67400000000000004</v>
      </c>
      <c r="O65">
        <v>0</v>
      </c>
      <c r="P65">
        <v>0.12</v>
      </c>
      <c r="Q65">
        <v>0.36</v>
      </c>
      <c r="R65">
        <v>80.057000000000002</v>
      </c>
      <c r="S65">
        <v>4</v>
      </c>
      <c r="T65" t="s">
        <v>4</v>
      </c>
    </row>
    <row r="66" spans="1:20" x14ac:dyDescent="0.3">
      <c r="A66" t="s">
        <v>200</v>
      </c>
      <c r="B66" t="s">
        <v>201</v>
      </c>
      <c r="C66" t="s">
        <v>202</v>
      </c>
      <c r="D66" t="s">
        <v>203</v>
      </c>
      <c r="E66">
        <v>62</v>
      </c>
      <c r="F66">
        <v>181852</v>
      </c>
      <c r="G66" t="b">
        <v>0</v>
      </c>
      <c r="H66">
        <v>0.58199999999999996</v>
      </c>
      <c r="I66">
        <v>0.255</v>
      </c>
      <c r="J66">
        <v>4</v>
      </c>
      <c r="K66">
        <v>-10.254</v>
      </c>
      <c r="L66">
        <v>1</v>
      </c>
      <c r="M66">
        <v>3.0599999999999999E-2</v>
      </c>
      <c r="N66">
        <v>0.77200000000000002</v>
      </c>
      <c r="O66">
        <v>0</v>
      </c>
      <c r="P66">
        <v>8.8900000000000007E-2</v>
      </c>
      <c r="Q66">
        <v>0.28499999999999998</v>
      </c>
      <c r="R66">
        <v>139.88399999999999</v>
      </c>
      <c r="S66">
        <v>4</v>
      </c>
      <c r="T66" t="s">
        <v>4</v>
      </c>
    </row>
    <row r="67" spans="1:20" x14ac:dyDescent="0.3">
      <c r="A67" t="s">
        <v>204</v>
      </c>
      <c r="B67" t="s">
        <v>205</v>
      </c>
      <c r="C67" t="s">
        <v>206</v>
      </c>
      <c r="D67" t="s">
        <v>207</v>
      </c>
      <c r="E67">
        <v>58</v>
      </c>
      <c r="F67">
        <v>186584</v>
      </c>
      <c r="G67" t="b">
        <v>0</v>
      </c>
      <c r="H67">
        <v>0.54900000000000004</v>
      </c>
      <c r="I67">
        <v>0.27400000000000002</v>
      </c>
      <c r="J67">
        <v>1</v>
      </c>
      <c r="K67">
        <v>-12.565</v>
      </c>
      <c r="L67">
        <v>1</v>
      </c>
      <c r="M67">
        <v>3.7900000000000003E-2</v>
      </c>
      <c r="N67">
        <v>0.79800000000000004</v>
      </c>
      <c r="O67" s="9" t="s">
        <v>208</v>
      </c>
      <c r="P67">
        <v>0.10299999999999999</v>
      </c>
      <c r="Q67">
        <v>0.20699999999999999</v>
      </c>
      <c r="R67">
        <v>86.664000000000001</v>
      </c>
      <c r="S67">
        <v>4</v>
      </c>
      <c r="T67" t="s">
        <v>4</v>
      </c>
    </row>
    <row r="68" spans="1:20" x14ac:dyDescent="0.3">
      <c r="A68" t="s">
        <v>209</v>
      </c>
      <c r="B68" t="s">
        <v>210</v>
      </c>
      <c r="C68" t="s">
        <v>211</v>
      </c>
      <c r="D68" t="s">
        <v>211</v>
      </c>
      <c r="E68">
        <v>65</v>
      </c>
      <c r="F68">
        <v>159600</v>
      </c>
      <c r="G68" t="b">
        <v>0</v>
      </c>
      <c r="H68">
        <v>0.78700000000000003</v>
      </c>
      <c r="I68">
        <v>0.35499999999999998</v>
      </c>
      <c r="J68">
        <v>0</v>
      </c>
      <c r="K68">
        <v>-11.429</v>
      </c>
      <c r="L68">
        <v>1</v>
      </c>
      <c r="M68">
        <v>2.8799999999999999E-2</v>
      </c>
      <c r="N68">
        <v>0.89600000000000002</v>
      </c>
      <c r="O68">
        <v>2.01E-2</v>
      </c>
      <c r="P68">
        <v>0.111</v>
      </c>
      <c r="Q68">
        <v>0.48</v>
      </c>
      <c r="R68">
        <v>99.977999999999994</v>
      </c>
      <c r="S68">
        <v>4</v>
      </c>
      <c r="T68" t="s">
        <v>4</v>
      </c>
    </row>
    <row r="69" spans="1:20" x14ac:dyDescent="0.3">
      <c r="A69" t="s">
        <v>212</v>
      </c>
      <c r="B69" t="s">
        <v>184</v>
      </c>
      <c r="C69" t="s">
        <v>213</v>
      </c>
      <c r="D69" t="s">
        <v>214</v>
      </c>
      <c r="E69">
        <v>67</v>
      </c>
      <c r="F69">
        <v>250266</v>
      </c>
      <c r="G69" t="b">
        <v>0</v>
      </c>
      <c r="H69">
        <v>0.39700000000000002</v>
      </c>
      <c r="I69">
        <v>0.30299999999999999</v>
      </c>
      <c r="J69">
        <v>5</v>
      </c>
      <c r="K69">
        <v>-7.508</v>
      </c>
      <c r="L69">
        <v>1</v>
      </c>
      <c r="M69">
        <v>4.3499999999999997E-2</v>
      </c>
      <c r="N69">
        <v>0.38100000000000001</v>
      </c>
      <c r="O69">
        <v>0</v>
      </c>
      <c r="P69">
        <v>0.10100000000000001</v>
      </c>
      <c r="Q69">
        <v>0.17199999999999999</v>
      </c>
      <c r="R69">
        <v>81.05</v>
      </c>
      <c r="S69">
        <v>4</v>
      </c>
      <c r="T69" t="s">
        <v>4</v>
      </c>
    </row>
    <row r="70" spans="1:20" x14ac:dyDescent="0.3">
      <c r="A70" t="s">
        <v>215</v>
      </c>
      <c r="B70" t="s">
        <v>164</v>
      </c>
      <c r="C70" t="s">
        <v>216</v>
      </c>
      <c r="D70" t="s">
        <v>217</v>
      </c>
      <c r="E70">
        <v>65</v>
      </c>
      <c r="F70">
        <v>318908</v>
      </c>
      <c r="G70" t="b">
        <v>0</v>
      </c>
      <c r="H70">
        <v>0.54800000000000004</v>
      </c>
      <c r="I70">
        <v>0.42</v>
      </c>
      <c r="J70">
        <v>0</v>
      </c>
      <c r="K70">
        <v>-7.8419999999999996</v>
      </c>
      <c r="L70">
        <v>1</v>
      </c>
      <c r="M70">
        <v>2.7699999999999999E-2</v>
      </c>
      <c r="N70">
        <v>0.19800000000000001</v>
      </c>
      <c r="O70" s="9" t="s">
        <v>218</v>
      </c>
      <c r="P70">
        <v>8.9899999999999994E-2</v>
      </c>
      <c r="Q70">
        <v>0.19600000000000001</v>
      </c>
      <c r="R70">
        <v>128.012</v>
      </c>
      <c r="S70">
        <v>4</v>
      </c>
      <c r="T70" t="s">
        <v>4</v>
      </c>
    </row>
    <row r="71" spans="1:20" x14ac:dyDescent="0.3">
      <c r="A71" t="s">
        <v>219</v>
      </c>
      <c r="B71" t="s">
        <v>220</v>
      </c>
      <c r="C71" t="s">
        <v>221</v>
      </c>
      <c r="D71" t="s">
        <v>222</v>
      </c>
      <c r="E71">
        <v>44</v>
      </c>
      <c r="F71">
        <v>222351</v>
      </c>
      <c r="G71" t="b">
        <v>0</v>
      </c>
      <c r="H71">
        <v>0.78700000000000003</v>
      </c>
      <c r="I71">
        <v>0.40300000000000002</v>
      </c>
      <c r="J71">
        <v>0</v>
      </c>
      <c r="K71">
        <v>-11.989000000000001</v>
      </c>
      <c r="L71">
        <v>1</v>
      </c>
      <c r="M71">
        <v>3.3000000000000002E-2</v>
      </c>
      <c r="N71">
        <v>0.60299999999999998</v>
      </c>
      <c r="O71">
        <v>8.5699999999999995E-3</v>
      </c>
      <c r="P71">
        <v>0.13100000000000001</v>
      </c>
      <c r="Q71">
        <v>0.26400000000000001</v>
      </c>
      <c r="R71">
        <v>118.042</v>
      </c>
      <c r="S71">
        <v>4</v>
      </c>
      <c r="T71" t="s">
        <v>4</v>
      </c>
    </row>
    <row r="72" spans="1:20" x14ac:dyDescent="0.3">
      <c r="A72" t="s">
        <v>223</v>
      </c>
      <c r="B72" t="s">
        <v>168</v>
      </c>
      <c r="C72" t="s">
        <v>224</v>
      </c>
      <c r="D72" t="s">
        <v>225</v>
      </c>
      <c r="E72">
        <v>55</v>
      </c>
      <c r="F72">
        <v>219480</v>
      </c>
      <c r="G72" t="b">
        <v>0</v>
      </c>
      <c r="H72">
        <v>0.48399999999999999</v>
      </c>
      <c r="I72">
        <v>0.57299999999999995</v>
      </c>
      <c r="J72">
        <v>5</v>
      </c>
      <c r="K72">
        <v>-6.1829999999999998</v>
      </c>
      <c r="L72">
        <v>1</v>
      </c>
      <c r="M72">
        <v>2.98E-2</v>
      </c>
      <c r="N72">
        <v>8.8200000000000001E-2</v>
      </c>
      <c r="O72" s="9" t="s">
        <v>226</v>
      </c>
      <c r="P72">
        <v>0.15</v>
      </c>
      <c r="Q72">
        <v>0.34599999999999997</v>
      </c>
      <c r="R72">
        <v>139.96600000000001</v>
      </c>
      <c r="S72">
        <v>3</v>
      </c>
      <c r="T72" t="s">
        <v>4</v>
      </c>
    </row>
    <row r="73" spans="1:20" x14ac:dyDescent="0.3">
      <c r="A73" t="s">
        <v>227</v>
      </c>
      <c r="B73" t="s">
        <v>228</v>
      </c>
      <c r="C73" t="s">
        <v>229</v>
      </c>
      <c r="D73" t="s">
        <v>230</v>
      </c>
      <c r="E73">
        <v>70</v>
      </c>
      <c r="F73">
        <v>221693</v>
      </c>
      <c r="G73" t="b">
        <v>0</v>
      </c>
      <c r="H73">
        <v>0.38200000000000001</v>
      </c>
      <c r="I73">
        <v>0.41599999999999998</v>
      </c>
      <c r="J73">
        <v>0</v>
      </c>
      <c r="K73">
        <v>-9.3030000000000008</v>
      </c>
      <c r="L73">
        <v>1</v>
      </c>
      <c r="M73">
        <v>3.0200000000000001E-2</v>
      </c>
      <c r="N73">
        <v>7.3300000000000004E-2</v>
      </c>
      <c r="O73">
        <v>0</v>
      </c>
      <c r="P73">
        <v>7.1900000000000006E-2</v>
      </c>
      <c r="Q73">
        <v>0.125</v>
      </c>
      <c r="R73">
        <v>102.089</v>
      </c>
      <c r="S73">
        <v>4</v>
      </c>
      <c r="T73" t="s">
        <v>4</v>
      </c>
    </row>
    <row r="74" spans="1:20" x14ac:dyDescent="0.3">
      <c r="A74" t="s">
        <v>231</v>
      </c>
      <c r="B74" t="s">
        <v>164</v>
      </c>
      <c r="C74" t="s">
        <v>232</v>
      </c>
      <c r="D74" t="s">
        <v>233</v>
      </c>
      <c r="E74">
        <v>57</v>
      </c>
      <c r="F74">
        <v>354400</v>
      </c>
      <c r="G74" t="b">
        <v>0</v>
      </c>
      <c r="H74">
        <v>0.54100000000000004</v>
      </c>
      <c r="I74">
        <v>0.57499999999999996</v>
      </c>
      <c r="J74">
        <v>9</v>
      </c>
      <c r="K74">
        <v>-9.4629999999999992</v>
      </c>
      <c r="L74">
        <v>1</v>
      </c>
      <c r="M74">
        <v>4.9099999999999998E-2</v>
      </c>
      <c r="N74">
        <v>0.67700000000000005</v>
      </c>
      <c r="O74">
        <v>0.215</v>
      </c>
      <c r="P74">
        <v>0.10199999999999999</v>
      </c>
      <c r="Q74">
        <v>0.42799999999999999</v>
      </c>
      <c r="R74">
        <v>91.98</v>
      </c>
      <c r="S74">
        <v>4</v>
      </c>
      <c r="T74" t="s">
        <v>4</v>
      </c>
    </row>
    <row r="75" spans="1:20" x14ac:dyDescent="0.3">
      <c r="A75" t="s">
        <v>234</v>
      </c>
      <c r="B75" t="s">
        <v>235</v>
      </c>
      <c r="C75" t="s">
        <v>236</v>
      </c>
      <c r="D75" t="s">
        <v>236</v>
      </c>
      <c r="E75">
        <v>56</v>
      </c>
      <c r="F75">
        <v>177500</v>
      </c>
      <c r="G75" t="b">
        <v>0</v>
      </c>
      <c r="H75">
        <v>0.60699999999999998</v>
      </c>
      <c r="I75">
        <v>0.47299999999999998</v>
      </c>
      <c r="J75">
        <v>2</v>
      </c>
      <c r="K75">
        <v>-8.5549999999999997</v>
      </c>
      <c r="L75">
        <v>1</v>
      </c>
      <c r="M75">
        <v>3.4000000000000002E-2</v>
      </c>
      <c r="N75">
        <v>0.71199999999999997</v>
      </c>
      <c r="O75">
        <v>0</v>
      </c>
      <c r="P75">
        <v>0.66</v>
      </c>
      <c r="Q75">
        <v>0.54</v>
      </c>
      <c r="R75">
        <v>119.69799999999999</v>
      </c>
      <c r="S75">
        <v>4</v>
      </c>
      <c r="T75" t="s">
        <v>4</v>
      </c>
    </row>
    <row r="76" spans="1:20" x14ac:dyDescent="0.3">
      <c r="A76" t="s">
        <v>237</v>
      </c>
      <c r="B76" t="s">
        <v>238</v>
      </c>
      <c r="C76" t="s">
        <v>239</v>
      </c>
      <c r="D76" t="s">
        <v>240</v>
      </c>
      <c r="E76">
        <v>56</v>
      </c>
      <c r="F76">
        <v>247840</v>
      </c>
      <c r="G76" t="b">
        <v>0</v>
      </c>
      <c r="H76">
        <v>0.41699999999999998</v>
      </c>
      <c r="I76">
        <v>0.59499999999999997</v>
      </c>
      <c r="J76">
        <v>6</v>
      </c>
      <c r="K76">
        <v>-7.84</v>
      </c>
      <c r="L76">
        <v>1</v>
      </c>
      <c r="M76">
        <v>3.9600000000000003E-2</v>
      </c>
      <c r="N76">
        <v>0.158</v>
      </c>
      <c r="O76">
        <v>2.6899999999999998E-4</v>
      </c>
      <c r="P76">
        <v>0.10100000000000001</v>
      </c>
      <c r="Q76">
        <v>0.11700000000000001</v>
      </c>
      <c r="R76">
        <v>147.928</v>
      </c>
      <c r="S76">
        <v>4</v>
      </c>
      <c r="T76" t="s">
        <v>4</v>
      </c>
    </row>
    <row r="77" spans="1:20" x14ac:dyDescent="0.3">
      <c r="A77" t="s">
        <v>241</v>
      </c>
      <c r="B77" t="s">
        <v>30</v>
      </c>
      <c r="C77" t="s">
        <v>44</v>
      </c>
      <c r="D77" t="s">
        <v>83</v>
      </c>
      <c r="E77">
        <v>67</v>
      </c>
      <c r="F77">
        <v>216386</v>
      </c>
      <c r="G77" t="b">
        <v>0</v>
      </c>
      <c r="H77">
        <v>0.57199999999999995</v>
      </c>
      <c r="I77">
        <v>0.45400000000000001</v>
      </c>
      <c r="J77">
        <v>3</v>
      </c>
      <c r="K77">
        <v>-10.286</v>
      </c>
      <c r="L77">
        <v>1</v>
      </c>
      <c r="M77">
        <v>2.58E-2</v>
      </c>
      <c r="N77">
        <v>0.47699999999999998</v>
      </c>
      <c r="O77" s="9" t="s">
        <v>84</v>
      </c>
      <c r="P77">
        <v>9.74E-2</v>
      </c>
      <c r="Q77">
        <v>0.51500000000000001</v>
      </c>
      <c r="R77">
        <v>140.18199999999999</v>
      </c>
      <c r="S77">
        <v>4</v>
      </c>
      <c r="T77" t="s">
        <v>4</v>
      </c>
    </row>
    <row r="78" spans="1:20" x14ac:dyDescent="0.3">
      <c r="A78" t="s">
        <v>242</v>
      </c>
      <c r="B78" t="s">
        <v>243</v>
      </c>
      <c r="C78" t="s">
        <v>244</v>
      </c>
      <c r="D78" t="s">
        <v>245</v>
      </c>
      <c r="E78">
        <v>62</v>
      </c>
      <c r="F78">
        <v>229320</v>
      </c>
      <c r="G78" t="b">
        <v>0</v>
      </c>
      <c r="H78">
        <v>0.70899999999999996</v>
      </c>
      <c r="I78">
        <v>0.91300000000000003</v>
      </c>
      <c r="J78">
        <v>7</v>
      </c>
      <c r="K78">
        <v>-5.1479999999999997</v>
      </c>
      <c r="L78">
        <v>1</v>
      </c>
      <c r="M78">
        <v>7.4800000000000005E-2</v>
      </c>
      <c r="N78">
        <v>1.8200000000000001E-2</v>
      </c>
      <c r="O78">
        <v>0</v>
      </c>
      <c r="P78">
        <v>0.16700000000000001</v>
      </c>
      <c r="Q78">
        <v>0.51900000000000002</v>
      </c>
      <c r="R78">
        <v>108.024</v>
      </c>
      <c r="S78">
        <v>4</v>
      </c>
      <c r="T78" t="s">
        <v>4</v>
      </c>
    </row>
    <row r="79" spans="1:20" x14ac:dyDescent="0.3">
      <c r="A79" t="s">
        <v>246</v>
      </c>
      <c r="B79" t="s">
        <v>247</v>
      </c>
      <c r="C79" t="s">
        <v>248</v>
      </c>
      <c r="D79" t="s">
        <v>249</v>
      </c>
      <c r="E79">
        <v>45</v>
      </c>
      <c r="F79">
        <v>330933</v>
      </c>
      <c r="G79" t="b">
        <v>0</v>
      </c>
      <c r="H79">
        <v>0.53700000000000003</v>
      </c>
      <c r="I79">
        <v>0.34200000000000003</v>
      </c>
      <c r="J79">
        <v>2</v>
      </c>
      <c r="K79">
        <v>-13.553000000000001</v>
      </c>
      <c r="L79">
        <v>1</v>
      </c>
      <c r="M79">
        <v>2.7300000000000001E-2</v>
      </c>
      <c r="N79">
        <v>0.64500000000000002</v>
      </c>
      <c r="O79">
        <v>0.26600000000000001</v>
      </c>
      <c r="P79">
        <v>6.8699999999999997E-2</v>
      </c>
      <c r="Q79">
        <v>0.253</v>
      </c>
      <c r="R79">
        <v>109.236</v>
      </c>
      <c r="S79">
        <v>4</v>
      </c>
      <c r="T79" t="s">
        <v>4</v>
      </c>
    </row>
    <row r="80" spans="1:20" x14ac:dyDescent="0.3">
      <c r="A80" t="s">
        <v>250</v>
      </c>
      <c r="B80" t="s">
        <v>251</v>
      </c>
      <c r="C80" t="s">
        <v>252</v>
      </c>
      <c r="D80" t="s">
        <v>253</v>
      </c>
      <c r="E80">
        <v>64</v>
      </c>
      <c r="F80">
        <v>172213</v>
      </c>
      <c r="G80" t="b">
        <v>0</v>
      </c>
      <c r="H80">
        <v>0.60199999999999998</v>
      </c>
      <c r="I80">
        <v>0.33600000000000002</v>
      </c>
      <c r="J80">
        <v>8</v>
      </c>
      <c r="K80">
        <v>-11.106</v>
      </c>
      <c r="L80">
        <v>1</v>
      </c>
      <c r="M80">
        <v>3.6900000000000002E-2</v>
      </c>
      <c r="N80">
        <v>0.88300000000000001</v>
      </c>
      <c r="O80">
        <v>1.6999999999999999E-3</v>
      </c>
      <c r="P80">
        <v>0.14299999999999999</v>
      </c>
      <c r="Q80">
        <v>0.33500000000000002</v>
      </c>
      <c r="R80">
        <v>90.894000000000005</v>
      </c>
      <c r="S80">
        <v>4</v>
      </c>
      <c r="T80" t="s">
        <v>4</v>
      </c>
    </row>
    <row r="81" spans="1:20" x14ac:dyDescent="0.3">
      <c r="A81" t="s">
        <v>254</v>
      </c>
      <c r="B81" t="s">
        <v>30</v>
      </c>
      <c r="C81" t="s">
        <v>255</v>
      </c>
      <c r="D81" t="s">
        <v>256</v>
      </c>
      <c r="E81">
        <v>65</v>
      </c>
      <c r="F81">
        <v>226106</v>
      </c>
      <c r="G81" t="b">
        <v>0</v>
      </c>
      <c r="H81">
        <v>0.64300000000000002</v>
      </c>
      <c r="I81">
        <v>0.63800000000000001</v>
      </c>
      <c r="J81">
        <v>1</v>
      </c>
      <c r="K81">
        <v>-4.9470000000000001</v>
      </c>
      <c r="L81">
        <v>0</v>
      </c>
      <c r="M81">
        <v>4.07E-2</v>
      </c>
      <c r="N81">
        <v>0.20399999999999999</v>
      </c>
      <c r="O81">
        <v>0</v>
      </c>
      <c r="P81">
        <v>7.0699999999999999E-2</v>
      </c>
      <c r="Q81">
        <v>0.6</v>
      </c>
      <c r="R81">
        <v>82.001000000000005</v>
      </c>
      <c r="S81">
        <v>4</v>
      </c>
      <c r="T81" t="s">
        <v>4</v>
      </c>
    </row>
    <row r="82" spans="1:20" x14ac:dyDescent="0.3">
      <c r="A82" t="s">
        <v>257</v>
      </c>
      <c r="B82" t="s">
        <v>258</v>
      </c>
      <c r="C82" t="s">
        <v>89</v>
      </c>
      <c r="D82" t="s">
        <v>259</v>
      </c>
      <c r="E82">
        <v>0</v>
      </c>
      <c r="F82">
        <v>235173</v>
      </c>
      <c r="G82" t="b">
        <v>0</v>
      </c>
      <c r="H82">
        <v>0.45100000000000001</v>
      </c>
      <c r="I82">
        <v>0.7</v>
      </c>
      <c r="J82">
        <v>10</v>
      </c>
      <c r="K82">
        <v>-6.5970000000000004</v>
      </c>
      <c r="L82">
        <v>0</v>
      </c>
      <c r="M82">
        <v>4.3099999999999999E-2</v>
      </c>
      <c r="N82">
        <v>0.45500000000000002</v>
      </c>
      <c r="O82">
        <v>2.33E-3</v>
      </c>
      <c r="P82">
        <v>0.40500000000000003</v>
      </c>
      <c r="Q82">
        <v>0.37</v>
      </c>
      <c r="R82">
        <v>150.05500000000001</v>
      </c>
      <c r="S82">
        <v>4</v>
      </c>
      <c r="T82" t="s">
        <v>4</v>
      </c>
    </row>
    <row r="83" spans="1:20" x14ac:dyDescent="0.3">
      <c r="A83" t="s">
        <v>260</v>
      </c>
      <c r="B83" t="s">
        <v>258</v>
      </c>
      <c r="C83" t="s">
        <v>261</v>
      </c>
      <c r="D83" t="s">
        <v>262</v>
      </c>
      <c r="E83">
        <v>0</v>
      </c>
      <c r="F83">
        <v>195213</v>
      </c>
      <c r="G83" t="b">
        <v>0</v>
      </c>
      <c r="H83">
        <v>0.54600000000000004</v>
      </c>
      <c r="I83">
        <v>0.39100000000000001</v>
      </c>
      <c r="J83">
        <v>2</v>
      </c>
      <c r="K83">
        <v>-10.786</v>
      </c>
      <c r="L83">
        <v>0</v>
      </c>
      <c r="M83">
        <v>6.3E-2</v>
      </c>
      <c r="N83">
        <v>0.78400000000000003</v>
      </c>
      <c r="O83" s="9" t="s">
        <v>263</v>
      </c>
      <c r="P83">
        <v>5.5199999999999999E-2</v>
      </c>
      <c r="Q83">
        <v>0.20200000000000001</v>
      </c>
      <c r="R83">
        <v>139.66900000000001</v>
      </c>
      <c r="S83">
        <v>4</v>
      </c>
      <c r="T83" t="s">
        <v>4</v>
      </c>
    </row>
    <row r="84" spans="1:20" x14ac:dyDescent="0.3">
      <c r="A84" t="s">
        <v>264</v>
      </c>
      <c r="B84" t="s">
        <v>129</v>
      </c>
      <c r="C84" t="s">
        <v>265</v>
      </c>
      <c r="D84" t="s">
        <v>266</v>
      </c>
      <c r="E84">
        <v>68</v>
      </c>
      <c r="F84">
        <v>236306</v>
      </c>
      <c r="G84" t="b">
        <v>0</v>
      </c>
      <c r="H84">
        <v>0.56100000000000005</v>
      </c>
      <c r="I84">
        <v>0.32700000000000001</v>
      </c>
      <c r="J84">
        <v>11</v>
      </c>
      <c r="K84">
        <v>-10.835000000000001</v>
      </c>
      <c r="L84">
        <v>0</v>
      </c>
      <c r="M84">
        <v>3.27E-2</v>
      </c>
      <c r="N84">
        <v>0.90200000000000002</v>
      </c>
      <c r="O84">
        <v>4.6900000000000002E-4</v>
      </c>
      <c r="P84">
        <v>0.111</v>
      </c>
      <c r="Q84">
        <v>0.29799999999999999</v>
      </c>
      <c r="R84">
        <v>161.858</v>
      </c>
      <c r="S84">
        <v>4</v>
      </c>
      <c r="T84" t="s">
        <v>4</v>
      </c>
    </row>
    <row r="85" spans="1:20" x14ac:dyDescent="0.3">
      <c r="A85" t="s">
        <v>267</v>
      </c>
      <c r="B85" t="s">
        <v>258</v>
      </c>
      <c r="C85" t="s">
        <v>268</v>
      </c>
      <c r="D85" t="s">
        <v>269</v>
      </c>
      <c r="E85">
        <v>0</v>
      </c>
      <c r="F85">
        <v>181400</v>
      </c>
      <c r="G85" t="b">
        <v>0</v>
      </c>
      <c r="H85">
        <v>0.47899999999999998</v>
      </c>
      <c r="I85">
        <v>0.54100000000000004</v>
      </c>
      <c r="J85">
        <v>0</v>
      </c>
      <c r="K85">
        <v>-9.8620000000000001</v>
      </c>
      <c r="L85">
        <v>1</v>
      </c>
      <c r="M85">
        <v>5.4300000000000001E-2</v>
      </c>
      <c r="N85">
        <v>0.74</v>
      </c>
      <c r="O85">
        <v>0</v>
      </c>
      <c r="P85">
        <v>0.108</v>
      </c>
      <c r="Q85">
        <v>0.3</v>
      </c>
      <c r="R85">
        <v>85.994</v>
      </c>
      <c r="S85">
        <v>4</v>
      </c>
      <c r="T85" t="s">
        <v>4</v>
      </c>
    </row>
    <row r="86" spans="1:20" x14ac:dyDescent="0.3">
      <c r="A86" t="s">
        <v>270</v>
      </c>
      <c r="B86" t="s">
        <v>258</v>
      </c>
      <c r="C86" t="s">
        <v>82</v>
      </c>
      <c r="D86" t="s">
        <v>269</v>
      </c>
      <c r="E86">
        <v>0</v>
      </c>
      <c r="F86">
        <v>181400</v>
      </c>
      <c r="G86" t="b">
        <v>0</v>
      </c>
      <c r="H86">
        <v>0.47899999999999998</v>
      </c>
      <c r="I86">
        <v>0.54100000000000004</v>
      </c>
      <c r="J86">
        <v>0</v>
      </c>
      <c r="K86">
        <v>-9.8620000000000001</v>
      </c>
      <c r="L86">
        <v>1</v>
      </c>
      <c r="M86">
        <v>5.4300000000000001E-2</v>
      </c>
      <c r="N86">
        <v>0.74</v>
      </c>
      <c r="O86">
        <v>0</v>
      </c>
      <c r="P86">
        <v>0.108</v>
      </c>
      <c r="Q86">
        <v>0.3</v>
      </c>
      <c r="R86">
        <v>85.994</v>
      </c>
      <c r="S86">
        <v>4</v>
      </c>
      <c r="T86" t="s">
        <v>4</v>
      </c>
    </row>
    <row r="87" spans="1:20" x14ac:dyDescent="0.3">
      <c r="A87" t="s">
        <v>271</v>
      </c>
      <c r="B87" t="s">
        <v>129</v>
      </c>
      <c r="C87" t="s">
        <v>265</v>
      </c>
      <c r="D87" t="s">
        <v>272</v>
      </c>
      <c r="E87">
        <v>61</v>
      </c>
      <c r="F87">
        <v>164500</v>
      </c>
      <c r="G87" t="b">
        <v>0</v>
      </c>
      <c r="H87">
        <v>0.436</v>
      </c>
      <c r="I87">
        <v>0.4</v>
      </c>
      <c r="J87">
        <v>7</v>
      </c>
      <c r="K87">
        <v>-11.484999999999999</v>
      </c>
      <c r="L87">
        <v>1</v>
      </c>
      <c r="M87">
        <v>2.7199999999999998E-2</v>
      </c>
      <c r="N87">
        <v>0.90400000000000003</v>
      </c>
      <c r="O87">
        <v>1.0499999999999999E-3</v>
      </c>
      <c r="P87">
        <v>0.125</v>
      </c>
      <c r="Q87">
        <v>0.35099999999999998</v>
      </c>
      <c r="R87">
        <v>100.73399999999999</v>
      </c>
      <c r="S87">
        <v>4</v>
      </c>
      <c r="T87" t="s">
        <v>4</v>
      </c>
    </row>
    <row r="88" spans="1:20" x14ac:dyDescent="0.3">
      <c r="A88" t="s">
        <v>273</v>
      </c>
      <c r="B88" t="s">
        <v>184</v>
      </c>
      <c r="C88" t="s">
        <v>274</v>
      </c>
      <c r="D88" t="s">
        <v>275</v>
      </c>
      <c r="E88">
        <v>70</v>
      </c>
      <c r="F88">
        <v>220573</v>
      </c>
      <c r="G88" t="b">
        <v>0</v>
      </c>
      <c r="H88">
        <v>0.55100000000000005</v>
      </c>
      <c r="I88">
        <v>0.83599999999999997</v>
      </c>
      <c r="J88">
        <v>10</v>
      </c>
      <c r="K88">
        <v>-3.8380000000000001</v>
      </c>
      <c r="L88">
        <v>0</v>
      </c>
      <c r="M88">
        <v>5.2400000000000002E-2</v>
      </c>
      <c r="N88">
        <v>5.0200000000000002E-3</v>
      </c>
      <c r="O88" s="9" t="s">
        <v>276</v>
      </c>
      <c r="P88">
        <v>4.2500000000000003E-2</v>
      </c>
      <c r="Q88">
        <v>0.75800000000000001</v>
      </c>
      <c r="R88">
        <v>185.06299999999999</v>
      </c>
      <c r="S88">
        <v>4</v>
      </c>
      <c r="T88" t="s">
        <v>4</v>
      </c>
    </row>
    <row r="89" spans="1:20" x14ac:dyDescent="0.3">
      <c r="A89" t="s">
        <v>277</v>
      </c>
      <c r="B89" t="s">
        <v>115</v>
      </c>
      <c r="C89" t="s">
        <v>278</v>
      </c>
      <c r="D89" t="s">
        <v>117</v>
      </c>
      <c r="E89">
        <v>0</v>
      </c>
      <c r="F89">
        <v>257493</v>
      </c>
      <c r="G89" t="b">
        <v>0</v>
      </c>
      <c r="H89">
        <v>0.40899999999999997</v>
      </c>
      <c r="I89">
        <v>0.153</v>
      </c>
      <c r="J89">
        <v>6</v>
      </c>
      <c r="K89">
        <v>-10.74</v>
      </c>
      <c r="L89">
        <v>0</v>
      </c>
      <c r="M89">
        <v>3.0599999999999999E-2</v>
      </c>
      <c r="N89">
        <v>0.93899999999999995</v>
      </c>
      <c r="O89" s="9" t="s">
        <v>118</v>
      </c>
      <c r="P89">
        <v>0.108</v>
      </c>
      <c r="Q89">
        <v>0.18</v>
      </c>
      <c r="R89">
        <v>85.262</v>
      </c>
      <c r="S89">
        <v>4</v>
      </c>
      <c r="T89" t="s">
        <v>4</v>
      </c>
    </row>
    <row r="90" spans="1:20" x14ac:dyDescent="0.3">
      <c r="A90" t="s">
        <v>279</v>
      </c>
      <c r="B90" t="s">
        <v>115</v>
      </c>
      <c r="C90" t="s">
        <v>280</v>
      </c>
      <c r="D90" t="s">
        <v>117</v>
      </c>
      <c r="E90">
        <v>0</v>
      </c>
      <c r="F90">
        <v>257493</v>
      </c>
      <c r="G90" t="b">
        <v>0</v>
      </c>
      <c r="H90">
        <v>0.40899999999999997</v>
      </c>
      <c r="I90">
        <v>0.153</v>
      </c>
      <c r="J90">
        <v>6</v>
      </c>
      <c r="K90">
        <v>-10.74</v>
      </c>
      <c r="L90">
        <v>0</v>
      </c>
      <c r="M90">
        <v>3.0599999999999999E-2</v>
      </c>
      <c r="N90">
        <v>0.93899999999999995</v>
      </c>
      <c r="O90" s="9" t="s">
        <v>118</v>
      </c>
      <c r="P90">
        <v>0.108</v>
      </c>
      <c r="Q90">
        <v>0.18</v>
      </c>
      <c r="R90">
        <v>85.262</v>
      </c>
      <c r="S90">
        <v>4</v>
      </c>
      <c r="T90" t="s">
        <v>4</v>
      </c>
    </row>
    <row r="91" spans="1:20" x14ac:dyDescent="0.3">
      <c r="A91" t="s">
        <v>281</v>
      </c>
      <c r="B91" t="s">
        <v>228</v>
      </c>
      <c r="C91" t="s">
        <v>282</v>
      </c>
      <c r="D91" t="s">
        <v>283</v>
      </c>
      <c r="E91">
        <v>62</v>
      </c>
      <c r="F91">
        <v>210612</v>
      </c>
      <c r="G91" t="b">
        <v>0</v>
      </c>
      <c r="H91">
        <v>0.6</v>
      </c>
      <c r="I91">
        <v>0.84499999999999997</v>
      </c>
      <c r="J91">
        <v>10</v>
      </c>
      <c r="K91">
        <v>-7.0759999999999996</v>
      </c>
      <c r="L91">
        <v>1</v>
      </c>
      <c r="M91">
        <v>3.1099999999999999E-2</v>
      </c>
      <c r="N91">
        <v>4.8000000000000001E-2</v>
      </c>
      <c r="O91">
        <v>0</v>
      </c>
      <c r="P91">
        <v>0.24</v>
      </c>
      <c r="Q91">
        <v>0.39200000000000002</v>
      </c>
      <c r="R91">
        <v>97.631</v>
      </c>
      <c r="S91">
        <v>4</v>
      </c>
      <c r="T91" t="s">
        <v>4</v>
      </c>
    </row>
    <row r="92" spans="1:20" x14ac:dyDescent="0.3">
      <c r="A92" t="s">
        <v>284</v>
      </c>
      <c r="B92" t="s">
        <v>285</v>
      </c>
      <c r="C92" t="s">
        <v>278</v>
      </c>
      <c r="D92" t="s">
        <v>286</v>
      </c>
      <c r="E92">
        <v>0</v>
      </c>
      <c r="F92">
        <v>154440</v>
      </c>
      <c r="G92" t="b">
        <v>0</v>
      </c>
      <c r="H92">
        <v>0.49199999999999999</v>
      </c>
      <c r="I92">
        <v>0.14499999999999999</v>
      </c>
      <c r="J92">
        <v>2</v>
      </c>
      <c r="K92">
        <v>-14.504</v>
      </c>
      <c r="L92">
        <v>0</v>
      </c>
      <c r="M92">
        <v>4.2200000000000001E-2</v>
      </c>
      <c r="N92">
        <v>0.872</v>
      </c>
      <c r="O92" s="9" t="s">
        <v>287</v>
      </c>
      <c r="P92">
        <v>0.107</v>
      </c>
      <c r="Q92">
        <v>0.218</v>
      </c>
      <c r="R92">
        <v>90.078000000000003</v>
      </c>
      <c r="S92">
        <v>4</v>
      </c>
      <c r="T92" t="s">
        <v>4</v>
      </c>
    </row>
    <row r="93" spans="1:20" x14ac:dyDescent="0.3">
      <c r="A93" t="s">
        <v>288</v>
      </c>
      <c r="B93" t="s">
        <v>285</v>
      </c>
      <c r="C93" t="s">
        <v>289</v>
      </c>
      <c r="D93" t="s">
        <v>286</v>
      </c>
      <c r="E93">
        <v>0</v>
      </c>
      <c r="F93">
        <v>154440</v>
      </c>
      <c r="G93" t="b">
        <v>0</v>
      </c>
      <c r="H93">
        <v>0.49199999999999999</v>
      </c>
      <c r="I93">
        <v>0.14499999999999999</v>
      </c>
      <c r="J93">
        <v>2</v>
      </c>
      <c r="K93">
        <v>-14.504</v>
      </c>
      <c r="L93">
        <v>0</v>
      </c>
      <c r="M93">
        <v>4.2200000000000001E-2</v>
      </c>
      <c r="N93">
        <v>0.872</v>
      </c>
      <c r="O93" s="9" t="s">
        <v>287</v>
      </c>
      <c r="P93">
        <v>0.107</v>
      </c>
      <c r="Q93">
        <v>0.218</v>
      </c>
      <c r="R93">
        <v>90.078000000000003</v>
      </c>
      <c r="S93">
        <v>4</v>
      </c>
      <c r="T93" t="s">
        <v>4</v>
      </c>
    </row>
    <row r="94" spans="1:20" x14ac:dyDescent="0.3">
      <c r="A94" t="s">
        <v>290</v>
      </c>
      <c r="B94" t="s">
        <v>115</v>
      </c>
      <c r="C94" t="s">
        <v>289</v>
      </c>
      <c r="D94" t="s">
        <v>291</v>
      </c>
      <c r="E94">
        <v>0</v>
      </c>
      <c r="F94">
        <v>263866</v>
      </c>
      <c r="G94" t="b">
        <v>0</v>
      </c>
      <c r="H94">
        <v>0.44700000000000001</v>
      </c>
      <c r="I94">
        <v>0.55500000000000005</v>
      </c>
      <c r="J94">
        <v>2</v>
      </c>
      <c r="K94">
        <v>-6.0179999999999998</v>
      </c>
      <c r="L94">
        <v>1</v>
      </c>
      <c r="M94">
        <v>3.49E-2</v>
      </c>
      <c r="N94">
        <v>0.218</v>
      </c>
      <c r="O94" s="9" t="s">
        <v>292</v>
      </c>
      <c r="P94">
        <v>0.124</v>
      </c>
      <c r="Q94">
        <v>0.33</v>
      </c>
      <c r="R94">
        <v>117.88800000000001</v>
      </c>
      <c r="S94">
        <v>3</v>
      </c>
      <c r="T94" t="s">
        <v>4</v>
      </c>
    </row>
    <row r="95" spans="1:20" x14ac:dyDescent="0.3">
      <c r="A95" t="s">
        <v>293</v>
      </c>
      <c r="B95" t="s">
        <v>285</v>
      </c>
      <c r="C95" t="s">
        <v>294</v>
      </c>
      <c r="D95" t="s">
        <v>286</v>
      </c>
      <c r="E95">
        <v>0</v>
      </c>
      <c r="F95">
        <v>154440</v>
      </c>
      <c r="G95" t="b">
        <v>0</v>
      </c>
      <c r="H95">
        <v>0.49199999999999999</v>
      </c>
      <c r="I95">
        <v>0.14499999999999999</v>
      </c>
      <c r="J95">
        <v>2</v>
      </c>
      <c r="K95">
        <v>-14.504</v>
      </c>
      <c r="L95">
        <v>0</v>
      </c>
      <c r="M95">
        <v>4.2200000000000001E-2</v>
      </c>
      <c r="N95">
        <v>0.872</v>
      </c>
      <c r="O95" s="9" t="s">
        <v>287</v>
      </c>
      <c r="P95">
        <v>0.107</v>
      </c>
      <c r="Q95">
        <v>0.218</v>
      </c>
      <c r="R95">
        <v>90.078000000000003</v>
      </c>
      <c r="S95">
        <v>4</v>
      </c>
      <c r="T95" t="s">
        <v>4</v>
      </c>
    </row>
    <row r="96" spans="1:20" x14ac:dyDescent="0.3">
      <c r="A96" t="s">
        <v>295</v>
      </c>
      <c r="B96" t="s">
        <v>285</v>
      </c>
      <c r="C96" t="s">
        <v>280</v>
      </c>
      <c r="D96" t="s">
        <v>286</v>
      </c>
      <c r="E96">
        <v>0</v>
      </c>
      <c r="F96">
        <v>154440</v>
      </c>
      <c r="G96" t="b">
        <v>0</v>
      </c>
      <c r="H96">
        <v>0.49199999999999999</v>
      </c>
      <c r="I96">
        <v>0.14499999999999999</v>
      </c>
      <c r="J96">
        <v>2</v>
      </c>
      <c r="K96">
        <v>-14.504</v>
      </c>
      <c r="L96">
        <v>0</v>
      </c>
      <c r="M96">
        <v>4.2200000000000001E-2</v>
      </c>
      <c r="N96">
        <v>0.872</v>
      </c>
      <c r="O96" s="9" t="s">
        <v>287</v>
      </c>
      <c r="P96">
        <v>0.107</v>
      </c>
      <c r="Q96">
        <v>0.218</v>
      </c>
      <c r="R96">
        <v>90.078000000000003</v>
      </c>
      <c r="S96">
        <v>4</v>
      </c>
      <c r="T96" t="s">
        <v>4</v>
      </c>
    </row>
    <row r="97" spans="1:20" x14ac:dyDescent="0.3">
      <c r="A97" t="s">
        <v>296</v>
      </c>
      <c r="B97" t="s">
        <v>285</v>
      </c>
      <c r="C97" t="s">
        <v>116</v>
      </c>
      <c r="D97" t="s">
        <v>286</v>
      </c>
      <c r="E97">
        <v>0</v>
      </c>
      <c r="F97">
        <v>154440</v>
      </c>
      <c r="G97" t="b">
        <v>0</v>
      </c>
      <c r="H97">
        <v>0.49199999999999999</v>
      </c>
      <c r="I97">
        <v>0.14499999999999999</v>
      </c>
      <c r="J97">
        <v>2</v>
      </c>
      <c r="K97">
        <v>-14.504</v>
      </c>
      <c r="L97">
        <v>0</v>
      </c>
      <c r="M97">
        <v>4.2200000000000001E-2</v>
      </c>
      <c r="N97">
        <v>0.872</v>
      </c>
      <c r="O97" s="9" t="s">
        <v>287</v>
      </c>
      <c r="P97">
        <v>0.107</v>
      </c>
      <c r="Q97">
        <v>0.218</v>
      </c>
      <c r="R97">
        <v>90.078000000000003</v>
      </c>
      <c r="S97">
        <v>4</v>
      </c>
      <c r="T97" t="s">
        <v>4</v>
      </c>
    </row>
    <row r="98" spans="1:20" x14ac:dyDescent="0.3">
      <c r="A98" t="s">
        <v>297</v>
      </c>
      <c r="B98" t="s">
        <v>285</v>
      </c>
      <c r="C98" t="s">
        <v>127</v>
      </c>
      <c r="D98" t="s">
        <v>286</v>
      </c>
      <c r="E98">
        <v>0</v>
      </c>
      <c r="F98">
        <v>154440</v>
      </c>
      <c r="G98" t="b">
        <v>0</v>
      </c>
      <c r="H98">
        <v>0.49199999999999999</v>
      </c>
      <c r="I98">
        <v>0.14499999999999999</v>
      </c>
      <c r="J98">
        <v>2</v>
      </c>
      <c r="K98">
        <v>-14.504</v>
      </c>
      <c r="L98">
        <v>0</v>
      </c>
      <c r="M98">
        <v>4.2200000000000001E-2</v>
      </c>
      <c r="N98">
        <v>0.872</v>
      </c>
      <c r="O98" s="9" t="s">
        <v>287</v>
      </c>
      <c r="P98">
        <v>0.107</v>
      </c>
      <c r="Q98">
        <v>0.218</v>
      </c>
      <c r="R98">
        <v>90.078000000000003</v>
      </c>
      <c r="S98">
        <v>4</v>
      </c>
      <c r="T98" t="s">
        <v>4</v>
      </c>
    </row>
    <row r="99" spans="1:20" x14ac:dyDescent="0.3">
      <c r="A99" t="s">
        <v>298</v>
      </c>
      <c r="B99" t="s">
        <v>285</v>
      </c>
      <c r="C99" t="s">
        <v>106</v>
      </c>
      <c r="D99" t="s">
        <v>286</v>
      </c>
      <c r="E99">
        <v>0</v>
      </c>
      <c r="F99">
        <v>154440</v>
      </c>
      <c r="G99" t="b">
        <v>0</v>
      </c>
      <c r="H99">
        <v>0.49199999999999999</v>
      </c>
      <c r="I99">
        <v>0.14499999999999999</v>
      </c>
      <c r="J99">
        <v>2</v>
      </c>
      <c r="K99">
        <v>-14.504</v>
      </c>
      <c r="L99">
        <v>0</v>
      </c>
      <c r="M99">
        <v>4.2200000000000001E-2</v>
      </c>
      <c r="N99">
        <v>0.872</v>
      </c>
      <c r="O99" s="9" t="s">
        <v>287</v>
      </c>
      <c r="P99">
        <v>0.107</v>
      </c>
      <c r="Q99">
        <v>0.218</v>
      </c>
      <c r="R99">
        <v>90.078000000000003</v>
      </c>
      <c r="S99">
        <v>4</v>
      </c>
      <c r="T99" t="s">
        <v>4</v>
      </c>
    </row>
    <row r="100" spans="1:20" x14ac:dyDescent="0.3">
      <c r="A100" t="s">
        <v>299</v>
      </c>
      <c r="B100" t="s">
        <v>115</v>
      </c>
      <c r="C100" t="s">
        <v>300</v>
      </c>
      <c r="D100" t="s">
        <v>20</v>
      </c>
      <c r="E100">
        <v>0</v>
      </c>
      <c r="F100">
        <v>177613</v>
      </c>
      <c r="G100" t="b">
        <v>0</v>
      </c>
      <c r="H100">
        <v>0.66100000000000003</v>
      </c>
      <c r="I100">
        <v>0.93700000000000006</v>
      </c>
      <c r="J100">
        <v>4</v>
      </c>
      <c r="K100">
        <v>-5.157</v>
      </c>
      <c r="L100">
        <v>0</v>
      </c>
      <c r="M100">
        <v>9.7900000000000001E-2</v>
      </c>
      <c r="N100">
        <v>0.32200000000000001</v>
      </c>
      <c r="O100" s="9" t="s">
        <v>301</v>
      </c>
      <c r="P100">
        <v>0.19</v>
      </c>
      <c r="Q100">
        <v>0.80500000000000005</v>
      </c>
      <c r="R100">
        <v>105.54900000000001</v>
      </c>
      <c r="S100">
        <v>4</v>
      </c>
      <c r="T100" t="s">
        <v>4</v>
      </c>
    </row>
    <row r="101" spans="1:20" x14ac:dyDescent="0.3">
      <c r="A101" t="s">
        <v>302</v>
      </c>
      <c r="B101" t="s">
        <v>115</v>
      </c>
      <c r="C101" t="s">
        <v>303</v>
      </c>
      <c r="D101" t="s">
        <v>304</v>
      </c>
      <c r="E101">
        <v>0</v>
      </c>
      <c r="F101">
        <v>199040</v>
      </c>
      <c r="G101" t="b">
        <v>0</v>
      </c>
      <c r="H101">
        <v>0.60299999999999998</v>
      </c>
      <c r="I101">
        <v>0.78</v>
      </c>
      <c r="J101">
        <v>0</v>
      </c>
      <c r="K101">
        <v>-5.5309999999999997</v>
      </c>
      <c r="L101">
        <v>1</v>
      </c>
      <c r="M101">
        <v>4.3799999999999999E-2</v>
      </c>
      <c r="N101">
        <v>0.13900000000000001</v>
      </c>
      <c r="O101">
        <v>0</v>
      </c>
      <c r="P101">
        <v>0.16400000000000001</v>
      </c>
      <c r="Q101">
        <v>0.69299999999999995</v>
      </c>
      <c r="R101">
        <v>100.499</v>
      </c>
      <c r="S101">
        <v>4</v>
      </c>
      <c r="T101" t="s">
        <v>4</v>
      </c>
    </row>
    <row r="102" spans="1:20" x14ac:dyDescent="0.3">
      <c r="A102" t="s">
        <v>305</v>
      </c>
      <c r="B102" t="s">
        <v>160</v>
      </c>
      <c r="C102" t="s">
        <v>306</v>
      </c>
      <c r="D102" t="s">
        <v>307</v>
      </c>
      <c r="E102">
        <v>58</v>
      </c>
      <c r="F102">
        <v>293040</v>
      </c>
      <c r="G102" t="b">
        <v>0</v>
      </c>
      <c r="H102">
        <v>0.626</v>
      </c>
      <c r="I102">
        <v>0.65500000000000003</v>
      </c>
      <c r="J102">
        <v>9</v>
      </c>
      <c r="K102">
        <v>-6.69</v>
      </c>
      <c r="L102">
        <v>1</v>
      </c>
      <c r="M102">
        <v>2.63E-2</v>
      </c>
      <c r="N102">
        <v>0.503</v>
      </c>
      <c r="O102">
        <v>0</v>
      </c>
      <c r="P102">
        <v>0.13</v>
      </c>
      <c r="Q102">
        <v>0.54200000000000004</v>
      </c>
      <c r="R102">
        <v>92.003</v>
      </c>
      <c r="S102">
        <v>4</v>
      </c>
      <c r="T102" t="s">
        <v>4</v>
      </c>
    </row>
    <row r="103" spans="1:20" x14ac:dyDescent="0.3">
      <c r="A103" t="s">
        <v>308</v>
      </c>
      <c r="B103" t="s">
        <v>309</v>
      </c>
      <c r="C103" t="s">
        <v>310</v>
      </c>
      <c r="D103" t="s">
        <v>311</v>
      </c>
      <c r="E103">
        <v>50</v>
      </c>
      <c r="F103">
        <v>138495</v>
      </c>
      <c r="G103" t="b">
        <v>0</v>
      </c>
      <c r="H103">
        <v>0.79400000000000004</v>
      </c>
      <c r="I103">
        <v>0.38</v>
      </c>
      <c r="J103">
        <v>10</v>
      </c>
      <c r="K103">
        <v>-8.7690000000000001</v>
      </c>
      <c r="L103">
        <v>0</v>
      </c>
      <c r="M103">
        <v>4.7699999999999999E-2</v>
      </c>
      <c r="N103">
        <v>0.76200000000000001</v>
      </c>
      <c r="O103">
        <v>0</v>
      </c>
      <c r="P103">
        <v>0.26200000000000001</v>
      </c>
      <c r="Q103">
        <v>0.61699999999999999</v>
      </c>
      <c r="R103">
        <v>114.99</v>
      </c>
      <c r="S103">
        <v>4</v>
      </c>
      <c r="T103" t="s">
        <v>4</v>
      </c>
    </row>
    <row r="104" spans="1:20" x14ac:dyDescent="0.3">
      <c r="A104" t="s">
        <v>312</v>
      </c>
      <c r="B104" t="s">
        <v>164</v>
      </c>
      <c r="C104" t="s">
        <v>313</v>
      </c>
      <c r="D104" t="s">
        <v>314</v>
      </c>
      <c r="E104">
        <v>59</v>
      </c>
      <c r="F104">
        <v>198626</v>
      </c>
      <c r="G104" t="b">
        <v>0</v>
      </c>
      <c r="H104">
        <v>0.52</v>
      </c>
      <c r="I104">
        <v>0.27900000000000003</v>
      </c>
      <c r="J104">
        <v>5</v>
      </c>
      <c r="K104">
        <v>-10.739000000000001</v>
      </c>
      <c r="L104">
        <v>0</v>
      </c>
      <c r="M104">
        <v>5.4699999999999999E-2</v>
      </c>
      <c r="N104">
        <v>0.89400000000000002</v>
      </c>
      <c r="O104">
        <v>1.05E-4</v>
      </c>
      <c r="P104">
        <v>0.10299999999999999</v>
      </c>
      <c r="Q104">
        <v>9.5100000000000004E-2</v>
      </c>
      <c r="R104">
        <v>69.641999999999996</v>
      </c>
      <c r="S104">
        <v>4</v>
      </c>
      <c r="T104" t="s">
        <v>4</v>
      </c>
    </row>
    <row r="105" spans="1:20" x14ac:dyDescent="0.3">
      <c r="A105" t="s">
        <v>315</v>
      </c>
      <c r="B105" t="s">
        <v>316</v>
      </c>
      <c r="C105" t="s">
        <v>77</v>
      </c>
      <c r="D105" t="s">
        <v>317</v>
      </c>
      <c r="E105">
        <v>57</v>
      </c>
      <c r="F105">
        <v>292566</v>
      </c>
      <c r="G105" t="b">
        <v>0</v>
      </c>
      <c r="H105">
        <v>0.54500000000000004</v>
      </c>
      <c r="I105">
        <v>0.65800000000000003</v>
      </c>
      <c r="J105">
        <v>1</v>
      </c>
      <c r="K105">
        <v>-7.1740000000000004</v>
      </c>
      <c r="L105">
        <v>1</v>
      </c>
      <c r="M105">
        <v>4.7399999999999998E-2</v>
      </c>
      <c r="N105">
        <v>0.496</v>
      </c>
      <c r="O105">
        <v>0</v>
      </c>
      <c r="P105">
        <v>0.105</v>
      </c>
      <c r="Q105">
        <v>0.68300000000000005</v>
      </c>
      <c r="R105">
        <v>76.971000000000004</v>
      </c>
      <c r="S105">
        <v>4</v>
      </c>
      <c r="T105" t="s">
        <v>4</v>
      </c>
    </row>
    <row r="106" spans="1:20" x14ac:dyDescent="0.3">
      <c r="A106" t="s">
        <v>318</v>
      </c>
      <c r="B106" t="s">
        <v>319</v>
      </c>
      <c r="C106" t="s">
        <v>320</v>
      </c>
      <c r="D106" t="s">
        <v>320</v>
      </c>
      <c r="E106">
        <v>60</v>
      </c>
      <c r="F106">
        <v>199019</v>
      </c>
      <c r="G106" t="b">
        <v>0</v>
      </c>
      <c r="H106">
        <v>0.72799999999999998</v>
      </c>
      <c r="I106">
        <v>0.26600000000000001</v>
      </c>
      <c r="J106">
        <v>8</v>
      </c>
      <c r="K106">
        <v>-7.3220000000000001</v>
      </c>
      <c r="L106">
        <v>1</v>
      </c>
      <c r="M106">
        <v>2.93E-2</v>
      </c>
      <c r="N106">
        <v>0.872</v>
      </c>
      <c r="O106" s="9" t="s">
        <v>321</v>
      </c>
      <c r="P106">
        <v>0.114</v>
      </c>
      <c r="Q106">
        <v>0.307</v>
      </c>
      <c r="R106">
        <v>115.18899999999999</v>
      </c>
      <c r="S106">
        <v>4</v>
      </c>
      <c r="T106" t="s">
        <v>4</v>
      </c>
    </row>
    <row r="107" spans="1:20" x14ac:dyDescent="0.3">
      <c r="A107" t="s">
        <v>322</v>
      </c>
      <c r="B107" t="s">
        <v>323</v>
      </c>
      <c r="C107" t="s">
        <v>324</v>
      </c>
      <c r="D107" t="s">
        <v>325</v>
      </c>
      <c r="E107">
        <v>61</v>
      </c>
      <c r="F107">
        <v>181760</v>
      </c>
      <c r="G107" t="b">
        <v>0</v>
      </c>
      <c r="H107">
        <v>0.66</v>
      </c>
      <c r="I107">
        <v>0.40699999999999997</v>
      </c>
      <c r="J107">
        <v>7</v>
      </c>
      <c r="K107">
        <v>-8.3810000000000002</v>
      </c>
      <c r="L107">
        <v>1</v>
      </c>
      <c r="M107">
        <v>5.7099999999999998E-2</v>
      </c>
      <c r="N107">
        <v>0.23599999999999999</v>
      </c>
      <c r="O107">
        <v>0</v>
      </c>
      <c r="P107">
        <v>0.109</v>
      </c>
      <c r="Q107">
        <v>0.25700000000000001</v>
      </c>
      <c r="R107">
        <v>133.86000000000001</v>
      </c>
      <c r="S107">
        <v>4</v>
      </c>
      <c r="T107" t="s">
        <v>4</v>
      </c>
    </row>
    <row r="108" spans="1:20" x14ac:dyDescent="0.3">
      <c r="A108" t="s">
        <v>326</v>
      </c>
      <c r="B108" t="s">
        <v>327</v>
      </c>
      <c r="C108" t="s">
        <v>328</v>
      </c>
      <c r="D108" t="s">
        <v>329</v>
      </c>
      <c r="E108">
        <v>49</v>
      </c>
      <c r="F108">
        <v>349920</v>
      </c>
      <c r="G108" t="b">
        <v>0</v>
      </c>
      <c r="H108">
        <v>0.35699999999999998</v>
      </c>
      <c r="I108">
        <v>0.161</v>
      </c>
      <c r="J108">
        <v>8</v>
      </c>
      <c r="K108">
        <v>-10.667</v>
      </c>
      <c r="L108">
        <v>1</v>
      </c>
      <c r="M108">
        <v>3.8800000000000001E-2</v>
      </c>
      <c r="N108">
        <v>0.97099999999999997</v>
      </c>
      <c r="O108" s="9" t="s">
        <v>330</v>
      </c>
      <c r="P108">
        <v>0.35799999999999998</v>
      </c>
      <c r="Q108">
        <v>0.32500000000000001</v>
      </c>
      <c r="R108">
        <v>83.448999999999998</v>
      </c>
      <c r="S108">
        <v>4</v>
      </c>
      <c r="T108" t="s">
        <v>4</v>
      </c>
    </row>
    <row r="109" spans="1:20" x14ac:dyDescent="0.3">
      <c r="A109" t="s">
        <v>331</v>
      </c>
      <c r="B109" t="s">
        <v>332</v>
      </c>
      <c r="C109" t="s">
        <v>333</v>
      </c>
      <c r="D109" t="s">
        <v>334</v>
      </c>
      <c r="E109">
        <v>55</v>
      </c>
      <c r="F109">
        <v>204973</v>
      </c>
      <c r="G109" t="b">
        <v>0</v>
      </c>
      <c r="H109">
        <v>0.47899999999999998</v>
      </c>
      <c r="I109">
        <v>0.154</v>
      </c>
      <c r="J109">
        <v>2</v>
      </c>
      <c r="K109">
        <v>-11.282</v>
      </c>
      <c r="L109">
        <v>1</v>
      </c>
      <c r="M109">
        <v>3.5200000000000002E-2</v>
      </c>
      <c r="N109">
        <v>0.91500000000000004</v>
      </c>
      <c r="O109">
        <v>0</v>
      </c>
      <c r="P109">
        <v>9.74E-2</v>
      </c>
      <c r="Q109">
        <v>0.36</v>
      </c>
      <c r="R109">
        <v>147.20699999999999</v>
      </c>
      <c r="S109">
        <v>4</v>
      </c>
      <c r="T109" t="s">
        <v>4</v>
      </c>
    </row>
    <row r="110" spans="1:20" x14ac:dyDescent="0.3">
      <c r="A110" t="s">
        <v>335</v>
      </c>
      <c r="B110" t="s">
        <v>336</v>
      </c>
      <c r="C110" t="s">
        <v>337</v>
      </c>
      <c r="D110" t="s">
        <v>337</v>
      </c>
      <c r="E110">
        <v>51</v>
      </c>
      <c r="F110">
        <v>322146</v>
      </c>
      <c r="G110" t="b">
        <v>0</v>
      </c>
      <c r="H110">
        <v>0.59199999999999997</v>
      </c>
      <c r="I110">
        <v>0.76900000000000002</v>
      </c>
      <c r="J110">
        <v>2</v>
      </c>
      <c r="K110">
        <v>-5.2679999999999998</v>
      </c>
      <c r="L110">
        <v>1</v>
      </c>
      <c r="M110">
        <v>3.1099999999999999E-2</v>
      </c>
      <c r="N110">
        <v>0.31900000000000001</v>
      </c>
      <c r="O110" s="9" t="s">
        <v>338</v>
      </c>
      <c r="P110">
        <v>0.13700000000000001</v>
      </c>
      <c r="Q110">
        <v>0.38500000000000001</v>
      </c>
      <c r="R110">
        <v>102.033</v>
      </c>
      <c r="S110">
        <v>4</v>
      </c>
      <c r="T110" t="s">
        <v>4</v>
      </c>
    </row>
    <row r="111" spans="1:20" x14ac:dyDescent="0.3">
      <c r="A111" t="s">
        <v>339</v>
      </c>
      <c r="B111" t="s">
        <v>220</v>
      </c>
      <c r="C111" t="s">
        <v>340</v>
      </c>
      <c r="D111" t="s">
        <v>341</v>
      </c>
      <c r="E111">
        <v>46</v>
      </c>
      <c r="F111">
        <v>210375</v>
      </c>
      <c r="G111" t="b">
        <v>0</v>
      </c>
      <c r="H111">
        <v>0.7</v>
      </c>
      <c r="I111">
        <v>0.45400000000000001</v>
      </c>
      <c r="J111">
        <v>7</v>
      </c>
      <c r="K111">
        <v>-10.39</v>
      </c>
      <c r="L111">
        <v>0</v>
      </c>
      <c r="M111">
        <v>3.8800000000000001E-2</v>
      </c>
      <c r="N111">
        <v>0.55000000000000004</v>
      </c>
      <c r="O111">
        <v>2.2000000000000001E-3</v>
      </c>
      <c r="P111">
        <v>0.121</v>
      </c>
      <c r="Q111">
        <v>0.34</v>
      </c>
      <c r="R111">
        <v>80.010999999999996</v>
      </c>
      <c r="S111">
        <v>3</v>
      </c>
      <c r="T111" t="s">
        <v>4</v>
      </c>
    </row>
    <row r="112" spans="1:20" x14ac:dyDescent="0.3">
      <c r="A112" t="s">
        <v>342</v>
      </c>
      <c r="B112" t="s">
        <v>319</v>
      </c>
      <c r="C112" t="s">
        <v>343</v>
      </c>
      <c r="D112" t="s">
        <v>344</v>
      </c>
      <c r="E112">
        <v>57</v>
      </c>
      <c r="F112">
        <v>131000</v>
      </c>
      <c r="G112" t="b">
        <v>0</v>
      </c>
      <c r="H112">
        <v>0.40200000000000002</v>
      </c>
      <c r="I112">
        <v>0.19700000000000001</v>
      </c>
      <c r="J112">
        <v>5</v>
      </c>
      <c r="K112">
        <v>-10.775</v>
      </c>
      <c r="L112">
        <v>1</v>
      </c>
      <c r="M112">
        <v>2.9499999999999998E-2</v>
      </c>
      <c r="N112">
        <v>0.85799999999999998</v>
      </c>
      <c r="O112" s="9" t="s">
        <v>345</v>
      </c>
      <c r="P112">
        <v>0.114</v>
      </c>
      <c r="Q112">
        <v>0.14799999999999999</v>
      </c>
      <c r="R112">
        <v>100.044</v>
      </c>
      <c r="S112">
        <v>3</v>
      </c>
      <c r="T112" t="s">
        <v>4</v>
      </c>
    </row>
    <row r="113" spans="1:20" x14ac:dyDescent="0.3">
      <c r="A113" t="s">
        <v>346</v>
      </c>
      <c r="B113" t="s">
        <v>164</v>
      </c>
      <c r="C113" t="s">
        <v>347</v>
      </c>
      <c r="D113" t="s">
        <v>347</v>
      </c>
      <c r="E113">
        <v>58</v>
      </c>
      <c r="F113">
        <v>218531</v>
      </c>
      <c r="G113" t="b">
        <v>0</v>
      </c>
      <c r="H113">
        <v>0.50700000000000001</v>
      </c>
      <c r="I113">
        <v>0.378</v>
      </c>
      <c r="J113">
        <v>9</v>
      </c>
      <c r="K113">
        <v>-9.0190000000000001</v>
      </c>
      <c r="L113">
        <v>1</v>
      </c>
      <c r="M113">
        <v>3.32E-2</v>
      </c>
      <c r="N113">
        <v>0.85199999999999998</v>
      </c>
      <c r="O113">
        <v>2.12E-4</v>
      </c>
      <c r="P113">
        <v>9.3700000000000006E-2</v>
      </c>
      <c r="Q113">
        <v>8.5000000000000006E-2</v>
      </c>
      <c r="R113">
        <v>135.86000000000001</v>
      </c>
      <c r="S113">
        <v>4</v>
      </c>
      <c r="T113" t="s">
        <v>4</v>
      </c>
    </row>
    <row r="114" spans="1:20" x14ac:dyDescent="0.3">
      <c r="A114" t="s">
        <v>348</v>
      </c>
      <c r="B114" t="s">
        <v>6</v>
      </c>
      <c r="C114" t="s">
        <v>349</v>
      </c>
      <c r="D114" t="s">
        <v>349</v>
      </c>
      <c r="E114">
        <v>51</v>
      </c>
      <c r="F114">
        <v>195945</v>
      </c>
      <c r="G114" t="b">
        <v>0</v>
      </c>
      <c r="H114">
        <v>0.61899999999999999</v>
      </c>
      <c r="I114">
        <v>0.22600000000000001</v>
      </c>
      <c r="J114">
        <v>4</v>
      </c>
      <c r="K114">
        <v>-13.452999999999999</v>
      </c>
      <c r="L114">
        <v>1</v>
      </c>
      <c r="M114">
        <v>6.4100000000000004E-2</v>
      </c>
      <c r="N114">
        <v>0.95899999999999996</v>
      </c>
      <c r="O114" s="9" t="s">
        <v>350</v>
      </c>
      <c r="P114">
        <v>0.106</v>
      </c>
      <c r="Q114">
        <v>0.188</v>
      </c>
      <c r="R114">
        <v>124.96</v>
      </c>
      <c r="S114">
        <v>3</v>
      </c>
      <c r="T114" t="s">
        <v>4</v>
      </c>
    </row>
    <row r="115" spans="1:20" x14ac:dyDescent="0.3">
      <c r="A115" t="s">
        <v>351</v>
      </c>
      <c r="B115" t="s">
        <v>352</v>
      </c>
      <c r="C115" t="s">
        <v>353</v>
      </c>
      <c r="D115" t="s">
        <v>354</v>
      </c>
      <c r="E115">
        <v>63</v>
      </c>
      <c r="F115">
        <v>245933</v>
      </c>
      <c r="G115" t="b">
        <v>0</v>
      </c>
      <c r="H115">
        <v>0.40400000000000003</v>
      </c>
      <c r="I115">
        <v>0.57099999999999995</v>
      </c>
      <c r="J115">
        <v>0</v>
      </c>
      <c r="K115">
        <v>-5.069</v>
      </c>
      <c r="L115">
        <v>1</v>
      </c>
      <c r="M115">
        <v>3.0300000000000001E-2</v>
      </c>
      <c r="N115">
        <v>0.182</v>
      </c>
      <c r="O115" s="9" t="s">
        <v>355</v>
      </c>
      <c r="P115">
        <v>0.129</v>
      </c>
      <c r="Q115">
        <v>0.28999999999999998</v>
      </c>
      <c r="R115">
        <v>147.01</v>
      </c>
      <c r="S115">
        <v>4</v>
      </c>
      <c r="T115" t="s">
        <v>4</v>
      </c>
    </row>
    <row r="116" spans="1:20" x14ac:dyDescent="0.3">
      <c r="A116" t="s">
        <v>356</v>
      </c>
      <c r="B116" t="s">
        <v>357</v>
      </c>
      <c r="C116" t="s">
        <v>358</v>
      </c>
      <c r="D116" t="s">
        <v>358</v>
      </c>
      <c r="E116">
        <v>53</v>
      </c>
      <c r="F116">
        <v>212386</v>
      </c>
      <c r="G116" t="b">
        <v>0</v>
      </c>
      <c r="H116">
        <v>0.41799999999999998</v>
      </c>
      <c r="I116">
        <v>0.79</v>
      </c>
      <c r="J116">
        <v>4</v>
      </c>
      <c r="K116">
        <v>-6.5990000000000002</v>
      </c>
      <c r="L116">
        <v>0</v>
      </c>
      <c r="M116">
        <v>5.0599999999999999E-2</v>
      </c>
      <c r="N116">
        <v>2.8400000000000002E-2</v>
      </c>
      <c r="O116" s="9" t="s">
        <v>359</v>
      </c>
      <c r="P116">
        <v>0.11700000000000001</v>
      </c>
      <c r="Q116">
        <v>0.19700000000000001</v>
      </c>
      <c r="R116">
        <v>175.97499999999999</v>
      </c>
      <c r="S116">
        <v>4</v>
      </c>
      <c r="T116" t="s">
        <v>4</v>
      </c>
    </row>
    <row r="117" spans="1:20" x14ac:dyDescent="0.3">
      <c r="A117" t="s">
        <v>360</v>
      </c>
      <c r="B117" t="s">
        <v>319</v>
      </c>
      <c r="C117" t="s">
        <v>72</v>
      </c>
      <c r="D117" t="s">
        <v>361</v>
      </c>
      <c r="E117">
        <v>60</v>
      </c>
      <c r="F117">
        <v>225165</v>
      </c>
      <c r="G117" t="b">
        <v>0</v>
      </c>
      <c r="H117">
        <v>0.63300000000000001</v>
      </c>
      <c r="I117">
        <v>0.29899999999999999</v>
      </c>
      <c r="J117">
        <v>11</v>
      </c>
      <c r="K117">
        <v>-7.798</v>
      </c>
      <c r="L117">
        <v>1</v>
      </c>
      <c r="M117">
        <v>3.5299999999999998E-2</v>
      </c>
      <c r="N117">
        <v>0.83299999999999996</v>
      </c>
      <c r="O117">
        <v>0</v>
      </c>
      <c r="P117">
        <v>0.109</v>
      </c>
      <c r="Q117">
        <v>0.34100000000000003</v>
      </c>
      <c r="R117">
        <v>147.54900000000001</v>
      </c>
      <c r="S117">
        <v>4</v>
      </c>
      <c r="T117" t="s">
        <v>4</v>
      </c>
    </row>
    <row r="118" spans="1:20" x14ac:dyDescent="0.3">
      <c r="A118" t="s">
        <v>362</v>
      </c>
      <c r="B118" t="s">
        <v>63</v>
      </c>
      <c r="C118" t="s">
        <v>363</v>
      </c>
      <c r="D118" t="s">
        <v>363</v>
      </c>
      <c r="E118">
        <v>47</v>
      </c>
      <c r="F118">
        <v>112008</v>
      </c>
      <c r="G118" t="b">
        <v>0</v>
      </c>
      <c r="H118">
        <v>0.56499999999999995</v>
      </c>
      <c r="I118">
        <v>3.9199999999999999E-2</v>
      </c>
      <c r="J118">
        <v>1</v>
      </c>
      <c r="K118">
        <v>-28.276</v>
      </c>
      <c r="L118">
        <v>1</v>
      </c>
      <c r="M118">
        <v>4.4999999999999998E-2</v>
      </c>
      <c r="N118">
        <v>0.83499999999999996</v>
      </c>
      <c r="O118">
        <v>0.183</v>
      </c>
      <c r="P118">
        <v>0.11700000000000001</v>
      </c>
      <c r="Q118">
        <v>0.60099999999999998</v>
      </c>
      <c r="R118">
        <v>125.399</v>
      </c>
      <c r="S118">
        <v>4</v>
      </c>
      <c r="T118" t="s">
        <v>4</v>
      </c>
    </row>
    <row r="119" spans="1:20" x14ac:dyDescent="0.3">
      <c r="A119" t="s">
        <v>364</v>
      </c>
      <c r="B119" t="s">
        <v>14</v>
      </c>
      <c r="C119" t="s">
        <v>365</v>
      </c>
      <c r="D119" t="s">
        <v>365</v>
      </c>
      <c r="E119">
        <v>60</v>
      </c>
      <c r="F119">
        <v>123609</v>
      </c>
      <c r="G119" t="b">
        <v>0</v>
      </c>
      <c r="H119">
        <v>0.66400000000000003</v>
      </c>
      <c r="I119">
        <v>7.5499999999999998E-2</v>
      </c>
      <c r="J119">
        <v>10</v>
      </c>
      <c r="K119">
        <v>-19.835999999999999</v>
      </c>
      <c r="L119">
        <v>1</v>
      </c>
      <c r="M119">
        <v>3.8899999999999997E-2</v>
      </c>
      <c r="N119">
        <v>0.91</v>
      </c>
      <c r="O119">
        <v>0</v>
      </c>
      <c r="P119">
        <v>0.16400000000000001</v>
      </c>
      <c r="Q119">
        <v>0.57499999999999996</v>
      </c>
      <c r="R119">
        <v>80.004000000000005</v>
      </c>
      <c r="S119">
        <v>1</v>
      </c>
      <c r="T119" t="s">
        <v>4</v>
      </c>
    </row>
    <row r="120" spans="1:20" x14ac:dyDescent="0.3">
      <c r="A120" t="s">
        <v>366</v>
      </c>
      <c r="B120" t="s">
        <v>30</v>
      </c>
      <c r="C120" t="s">
        <v>45</v>
      </c>
      <c r="D120" t="s">
        <v>45</v>
      </c>
      <c r="E120">
        <v>66</v>
      </c>
      <c r="F120">
        <v>240165</v>
      </c>
      <c r="G120" t="b">
        <v>0</v>
      </c>
      <c r="H120">
        <v>0.58499999999999996</v>
      </c>
      <c r="I120">
        <v>0.30299999999999999</v>
      </c>
      <c r="J120">
        <v>4</v>
      </c>
      <c r="K120">
        <v>-10.058</v>
      </c>
      <c r="L120">
        <v>1</v>
      </c>
      <c r="M120">
        <v>3.9800000000000002E-2</v>
      </c>
      <c r="N120">
        <v>0.69399999999999995</v>
      </c>
      <c r="O120">
        <v>0</v>
      </c>
      <c r="P120">
        <v>0.115</v>
      </c>
      <c r="Q120">
        <v>0.14199999999999999</v>
      </c>
      <c r="R120">
        <v>136.703</v>
      </c>
      <c r="S120">
        <v>3</v>
      </c>
      <c r="T120" t="s">
        <v>4</v>
      </c>
    </row>
    <row r="121" spans="1:20" x14ac:dyDescent="0.3">
      <c r="A121" t="s">
        <v>367</v>
      </c>
      <c r="B121" t="s">
        <v>368</v>
      </c>
      <c r="C121" t="s">
        <v>369</v>
      </c>
      <c r="D121" t="s">
        <v>369</v>
      </c>
      <c r="E121">
        <v>67</v>
      </c>
      <c r="F121">
        <v>265843</v>
      </c>
      <c r="G121" t="b">
        <v>0</v>
      </c>
      <c r="H121">
        <v>0.65</v>
      </c>
      <c r="I121">
        <v>0.27100000000000002</v>
      </c>
      <c r="J121">
        <v>9</v>
      </c>
      <c r="K121">
        <v>-11.081</v>
      </c>
      <c r="L121">
        <v>1</v>
      </c>
      <c r="M121">
        <v>3.1399999999999997E-2</v>
      </c>
      <c r="N121">
        <v>0.79400000000000004</v>
      </c>
      <c r="O121" s="9" t="s">
        <v>370</v>
      </c>
      <c r="P121">
        <v>0.19600000000000001</v>
      </c>
      <c r="Q121">
        <v>0.21</v>
      </c>
      <c r="R121">
        <v>78.036000000000001</v>
      </c>
      <c r="S121">
        <v>4</v>
      </c>
      <c r="T121" t="s">
        <v>4</v>
      </c>
    </row>
    <row r="122" spans="1:20" x14ac:dyDescent="0.3">
      <c r="A122" t="s">
        <v>371</v>
      </c>
      <c r="B122" t="s">
        <v>372</v>
      </c>
      <c r="C122" t="s">
        <v>373</v>
      </c>
      <c r="D122" t="s">
        <v>374</v>
      </c>
      <c r="E122">
        <v>43</v>
      </c>
      <c r="F122">
        <v>194194</v>
      </c>
      <c r="G122" t="b">
        <v>0</v>
      </c>
      <c r="H122">
        <v>0.53400000000000003</v>
      </c>
      <c r="I122">
        <v>0.21299999999999999</v>
      </c>
      <c r="J122">
        <v>1</v>
      </c>
      <c r="K122">
        <v>-8.64</v>
      </c>
      <c r="L122">
        <v>1</v>
      </c>
      <c r="M122">
        <v>2.8299999999999999E-2</v>
      </c>
      <c r="N122">
        <v>0.88400000000000001</v>
      </c>
      <c r="O122">
        <v>0</v>
      </c>
      <c r="P122">
        <v>0.107</v>
      </c>
      <c r="Q122">
        <v>9.98E-2</v>
      </c>
      <c r="R122">
        <v>98.385000000000005</v>
      </c>
      <c r="S122">
        <v>4</v>
      </c>
      <c r="T122" t="s">
        <v>4</v>
      </c>
    </row>
    <row r="123" spans="1:20" x14ac:dyDescent="0.3">
      <c r="A123" t="s">
        <v>375</v>
      </c>
      <c r="B123" t="s">
        <v>376</v>
      </c>
      <c r="C123" t="s">
        <v>377</v>
      </c>
      <c r="D123" t="s">
        <v>378</v>
      </c>
      <c r="E123">
        <v>54</v>
      </c>
      <c r="F123">
        <v>154600</v>
      </c>
      <c r="G123" t="b">
        <v>0</v>
      </c>
      <c r="H123">
        <v>0.45600000000000002</v>
      </c>
      <c r="I123">
        <v>0.38600000000000001</v>
      </c>
      <c r="J123">
        <v>10</v>
      </c>
      <c r="K123">
        <v>-10.292999999999999</v>
      </c>
      <c r="L123">
        <v>1</v>
      </c>
      <c r="M123">
        <v>3.2000000000000001E-2</v>
      </c>
      <c r="N123">
        <v>0.83499999999999996</v>
      </c>
      <c r="O123">
        <v>0.108</v>
      </c>
      <c r="P123">
        <v>0.38900000000000001</v>
      </c>
      <c r="Q123">
        <v>0.61199999999999999</v>
      </c>
      <c r="R123">
        <v>165.733</v>
      </c>
      <c r="S123">
        <v>4</v>
      </c>
      <c r="T123" t="s">
        <v>4</v>
      </c>
    </row>
    <row r="124" spans="1:20" x14ac:dyDescent="0.3">
      <c r="A124" t="s">
        <v>379</v>
      </c>
      <c r="B124" t="s">
        <v>380</v>
      </c>
      <c r="C124" t="s">
        <v>381</v>
      </c>
      <c r="D124" t="s">
        <v>382</v>
      </c>
      <c r="E124">
        <v>60</v>
      </c>
      <c r="F124">
        <v>158960</v>
      </c>
      <c r="G124" t="b">
        <v>0</v>
      </c>
      <c r="H124">
        <v>0.40899999999999997</v>
      </c>
      <c r="I124">
        <v>0.23400000000000001</v>
      </c>
      <c r="J124">
        <v>3</v>
      </c>
      <c r="K124">
        <v>-13.711</v>
      </c>
      <c r="L124">
        <v>1</v>
      </c>
      <c r="M124">
        <v>3.2300000000000002E-2</v>
      </c>
      <c r="N124">
        <v>0.33800000000000002</v>
      </c>
      <c r="O124" s="9" t="s">
        <v>383</v>
      </c>
      <c r="P124">
        <v>8.9499999999999996E-2</v>
      </c>
      <c r="Q124">
        <v>0.14499999999999999</v>
      </c>
      <c r="R124">
        <v>139.83199999999999</v>
      </c>
      <c r="S124">
        <v>4</v>
      </c>
      <c r="T124" t="s">
        <v>4</v>
      </c>
    </row>
    <row r="125" spans="1:20" x14ac:dyDescent="0.3">
      <c r="A125" t="s">
        <v>384</v>
      </c>
      <c r="B125" t="s">
        <v>37</v>
      </c>
      <c r="C125" t="s">
        <v>385</v>
      </c>
      <c r="D125" t="s">
        <v>386</v>
      </c>
      <c r="E125">
        <v>49</v>
      </c>
      <c r="F125">
        <v>319000</v>
      </c>
      <c r="G125" t="b">
        <v>0</v>
      </c>
      <c r="H125">
        <v>0.502</v>
      </c>
      <c r="I125">
        <v>0.53</v>
      </c>
      <c r="J125">
        <v>2</v>
      </c>
      <c r="K125">
        <v>-9.5730000000000004</v>
      </c>
      <c r="L125">
        <v>1</v>
      </c>
      <c r="M125">
        <v>2.6599999999999999E-2</v>
      </c>
      <c r="N125">
        <v>0.80500000000000005</v>
      </c>
      <c r="O125">
        <v>7.3800000000000005E-4</v>
      </c>
      <c r="P125">
        <v>7.2800000000000004E-2</v>
      </c>
      <c r="Q125">
        <v>0.10199999999999999</v>
      </c>
      <c r="R125">
        <v>78.046000000000006</v>
      </c>
      <c r="S125">
        <v>4</v>
      </c>
      <c r="T125" t="s">
        <v>4</v>
      </c>
    </row>
    <row r="126" spans="1:20" x14ac:dyDescent="0.3">
      <c r="A126" t="s">
        <v>387</v>
      </c>
      <c r="B126" t="s">
        <v>388</v>
      </c>
      <c r="C126" t="s">
        <v>389</v>
      </c>
      <c r="D126" t="s">
        <v>389</v>
      </c>
      <c r="E126">
        <v>57</v>
      </c>
      <c r="F126">
        <v>214360</v>
      </c>
      <c r="G126" t="b">
        <v>0</v>
      </c>
      <c r="H126">
        <v>0.496</v>
      </c>
      <c r="I126">
        <v>0.11700000000000001</v>
      </c>
      <c r="J126">
        <v>0</v>
      </c>
      <c r="K126">
        <v>-12.884</v>
      </c>
      <c r="L126">
        <v>1</v>
      </c>
      <c r="M126">
        <v>3.0099999999999998E-2</v>
      </c>
      <c r="N126">
        <v>0.93300000000000005</v>
      </c>
      <c r="O126">
        <v>0</v>
      </c>
      <c r="P126">
        <v>0.126</v>
      </c>
      <c r="Q126">
        <v>0.318</v>
      </c>
      <c r="R126">
        <v>78.067999999999998</v>
      </c>
      <c r="S126">
        <v>4</v>
      </c>
      <c r="T126" t="s">
        <v>4</v>
      </c>
    </row>
    <row r="127" spans="1:20" x14ac:dyDescent="0.3">
      <c r="A127" t="s">
        <v>390</v>
      </c>
      <c r="B127" t="s">
        <v>6</v>
      </c>
      <c r="C127" t="s">
        <v>391</v>
      </c>
      <c r="D127" t="s">
        <v>391</v>
      </c>
      <c r="E127">
        <v>42</v>
      </c>
      <c r="F127">
        <v>204480</v>
      </c>
      <c r="G127" t="b">
        <v>0</v>
      </c>
      <c r="H127">
        <v>0.58499999999999996</v>
      </c>
      <c r="I127">
        <v>0.72399999999999998</v>
      </c>
      <c r="J127">
        <v>1</v>
      </c>
      <c r="K127">
        <v>-6.5129999999999999</v>
      </c>
      <c r="L127">
        <v>0</v>
      </c>
      <c r="M127">
        <v>7.4499999999999997E-2</v>
      </c>
      <c r="N127">
        <v>0.315</v>
      </c>
      <c r="O127">
        <v>6.8099999999999994E-2</v>
      </c>
      <c r="P127">
        <v>4.48E-2</v>
      </c>
      <c r="Q127">
        <v>0.33300000000000002</v>
      </c>
      <c r="R127">
        <v>187.48400000000001</v>
      </c>
      <c r="S127">
        <v>3</v>
      </c>
      <c r="T127" t="s">
        <v>4</v>
      </c>
    </row>
    <row r="128" spans="1:20" x14ac:dyDescent="0.3">
      <c r="A128" t="s">
        <v>392</v>
      </c>
      <c r="B128" t="s">
        <v>393</v>
      </c>
      <c r="C128" t="s">
        <v>394</v>
      </c>
      <c r="D128" t="s">
        <v>395</v>
      </c>
      <c r="E128">
        <v>67</v>
      </c>
      <c r="F128">
        <v>277000</v>
      </c>
      <c r="G128" t="b">
        <v>0</v>
      </c>
      <c r="H128">
        <v>0.58199999999999996</v>
      </c>
      <c r="I128">
        <v>0.253</v>
      </c>
      <c r="J128">
        <v>10</v>
      </c>
      <c r="K128">
        <v>-11.43</v>
      </c>
      <c r="L128">
        <v>1</v>
      </c>
      <c r="M128">
        <v>2.5899999999999999E-2</v>
      </c>
      <c r="N128">
        <v>0.82699999999999996</v>
      </c>
      <c r="O128" s="9" t="s">
        <v>396</v>
      </c>
      <c r="P128">
        <v>9.0999999999999998E-2</v>
      </c>
      <c r="Q128">
        <v>0.29399999999999998</v>
      </c>
      <c r="R128">
        <v>90.186000000000007</v>
      </c>
      <c r="S128">
        <v>4</v>
      </c>
      <c r="T128" t="s">
        <v>4</v>
      </c>
    </row>
    <row r="129" spans="1:20" x14ac:dyDescent="0.3">
      <c r="A129" t="s">
        <v>397</v>
      </c>
      <c r="B129" t="s">
        <v>398</v>
      </c>
      <c r="C129" t="s">
        <v>399</v>
      </c>
      <c r="D129" t="s">
        <v>400</v>
      </c>
      <c r="E129">
        <v>61</v>
      </c>
      <c r="F129">
        <v>214240</v>
      </c>
      <c r="G129" t="b">
        <v>0</v>
      </c>
      <c r="H129">
        <v>0.63700000000000001</v>
      </c>
      <c r="I129">
        <v>0.14000000000000001</v>
      </c>
      <c r="J129">
        <v>2</v>
      </c>
      <c r="K129">
        <v>-11.472</v>
      </c>
      <c r="L129">
        <v>1</v>
      </c>
      <c r="M129">
        <v>4.07E-2</v>
      </c>
      <c r="N129">
        <v>0.90300000000000002</v>
      </c>
      <c r="O129">
        <v>0</v>
      </c>
      <c r="P129">
        <v>0.107</v>
      </c>
      <c r="Q129">
        <v>0.39200000000000002</v>
      </c>
      <c r="R129">
        <v>139.78</v>
      </c>
      <c r="S129">
        <v>4</v>
      </c>
      <c r="T129" t="s">
        <v>4</v>
      </c>
    </row>
    <row r="130" spans="1:20" x14ac:dyDescent="0.3">
      <c r="A130" t="s">
        <v>401</v>
      </c>
      <c r="B130" t="s">
        <v>402</v>
      </c>
      <c r="C130" t="s">
        <v>403</v>
      </c>
      <c r="D130" t="s">
        <v>404</v>
      </c>
      <c r="E130">
        <v>71</v>
      </c>
      <c r="F130">
        <v>215173</v>
      </c>
      <c r="G130" t="b">
        <v>0</v>
      </c>
      <c r="H130">
        <v>0.67200000000000004</v>
      </c>
      <c r="I130">
        <v>0.623</v>
      </c>
      <c r="J130">
        <v>9</v>
      </c>
      <c r="K130">
        <v>-5.6989999999999998</v>
      </c>
      <c r="L130">
        <v>1</v>
      </c>
      <c r="M130">
        <v>2.9700000000000001E-2</v>
      </c>
      <c r="N130">
        <v>0.24099999999999999</v>
      </c>
      <c r="O130">
        <v>0</v>
      </c>
      <c r="P130">
        <v>8.48E-2</v>
      </c>
      <c r="Q130">
        <v>0.61699999999999999</v>
      </c>
      <c r="R130">
        <v>92.018000000000001</v>
      </c>
      <c r="S130">
        <v>4</v>
      </c>
      <c r="T130" t="s">
        <v>4</v>
      </c>
    </row>
    <row r="131" spans="1:20" x14ac:dyDescent="0.3">
      <c r="A131" t="s">
        <v>405</v>
      </c>
      <c r="B131" t="s">
        <v>406</v>
      </c>
      <c r="C131" t="s">
        <v>407</v>
      </c>
      <c r="D131" t="s">
        <v>408</v>
      </c>
      <c r="E131">
        <v>49</v>
      </c>
      <c r="F131">
        <v>296862</v>
      </c>
      <c r="G131" t="b">
        <v>0</v>
      </c>
      <c r="H131">
        <v>0.42199999999999999</v>
      </c>
      <c r="I131">
        <v>0.27200000000000002</v>
      </c>
      <c r="J131">
        <v>4</v>
      </c>
      <c r="K131">
        <v>-10.772</v>
      </c>
      <c r="L131">
        <v>0</v>
      </c>
      <c r="M131">
        <v>3.5299999999999998E-2</v>
      </c>
      <c r="N131">
        <v>0.496</v>
      </c>
      <c r="O131" s="9" t="s">
        <v>409</v>
      </c>
      <c r="P131">
        <v>7.0400000000000004E-2</v>
      </c>
      <c r="Q131">
        <v>0.113</v>
      </c>
      <c r="R131">
        <v>143.41300000000001</v>
      </c>
      <c r="S131">
        <v>4</v>
      </c>
      <c r="T131" t="s">
        <v>4</v>
      </c>
    </row>
    <row r="132" spans="1:20" x14ac:dyDescent="0.3">
      <c r="A132" t="s">
        <v>410</v>
      </c>
      <c r="B132" t="s">
        <v>411</v>
      </c>
      <c r="C132" t="s">
        <v>412</v>
      </c>
      <c r="D132" t="s">
        <v>413</v>
      </c>
      <c r="E132">
        <v>61</v>
      </c>
      <c r="F132">
        <v>235813</v>
      </c>
      <c r="G132" t="b">
        <v>0</v>
      </c>
      <c r="H132">
        <v>0.47</v>
      </c>
      <c r="I132">
        <v>0.80100000000000005</v>
      </c>
      <c r="J132">
        <v>9</v>
      </c>
      <c r="K132">
        <v>-6.4260000000000002</v>
      </c>
      <c r="L132">
        <v>1</v>
      </c>
      <c r="M132">
        <v>3.5200000000000002E-2</v>
      </c>
      <c r="N132">
        <v>7.5800000000000006E-2</v>
      </c>
      <c r="O132" s="9" t="s">
        <v>414</v>
      </c>
      <c r="P132">
        <v>0.218</v>
      </c>
      <c r="Q132">
        <v>0.43099999999999999</v>
      </c>
      <c r="R132">
        <v>173.92</v>
      </c>
      <c r="S132">
        <v>4</v>
      </c>
      <c r="T132" t="s">
        <v>4</v>
      </c>
    </row>
    <row r="133" spans="1:20" x14ac:dyDescent="0.3">
      <c r="A133" t="s">
        <v>415</v>
      </c>
      <c r="B133" t="s">
        <v>411</v>
      </c>
      <c r="C133" t="s">
        <v>416</v>
      </c>
      <c r="D133" t="s">
        <v>417</v>
      </c>
      <c r="E133">
        <v>61</v>
      </c>
      <c r="F133">
        <v>228933</v>
      </c>
      <c r="G133" t="b">
        <v>0</v>
      </c>
      <c r="H133">
        <v>0.56399999999999995</v>
      </c>
      <c r="I133">
        <v>0.86399999999999999</v>
      </c>
      <c r="J133">
        <v>4</v>
      </c>
      <c r="K133">
        <v>-5.1210000000000004</v>
      </c>
      <c r="L133">
        <v>1</v>
      </c>
      <c r="M133">
        <v>3.4099999999999998E-2</v>
      </c>
      <c r="N133">
        <v>7.6100000000000001E-2</v>
      </c>
      <c r="O133">
        <v>0</v>
      </c>
      <c r="P133">
        <v>0.182</v>
      </c>
      <c r="Q133">
        <v>0.53400000000000003</v>
      </c>
      <c r="R133">
        <v>95.983999999999995</v>
      </c>
      <c r="S133">
        <v>4</v>
      </c>
      <c r="T133" t="s">
        <v>4</v>
      </c>
    </row>
    <row r="134" spans="1:20" x14ac:dyDescent="0.3">
      <c r="A134" t="s">
        <v>418</v>
      </c>
      <c r="B134" t="s">
        <v>30</v>
      </c>
      <c r="C134" t="s">
        <v>419</v>
      </c>
      <c r="D134" t="s">
        <v>420</v>
      </c>
      <c r="E134">
        <v>20</v>
      </c>
      <c r="F134">
        <v>339196</v>
      </c>
      <c r="G134" t="b">
        <v>0</v>
      </c>
      <c r="H134">
        <v>0.52100000000000002</v>
      </c>
      <c r="I134">
        <v>0.495</v>
      </c>
      <c r="J134">
        <v>5</v>
      </c>
      <c r="K134">
        <v>-7.7560000000000002</v>
      </c>
      <c r="L134">
        <v>1</v>
      </c>
      <c r="M134">
        <v>2.7E-2</v>
      </c>
      <c r="N134">
        <v>0.128</v>
      </c>
      <c r="O134">
        <v>0</v>
      </c>
      <c r="P134">
        <v>0.29599999999999999</v>
      </c>
      <c r="Q134">
        <v>0.11600000000000001</v>
      </c>
      <c r="R134">
        <v>135.06100000000001</v>
      </c>
      <c r="S134">
        <v>4</v>
      </c>
      <c r="T134" t="s">
        <v>4</v>
      </c>
    </row>
    <row r="135" spans="1:20" x14ac:dyDescent="0.3">
      <c r="A135" t="s">
        <v>421</v>
      </c>
      <c r="B135" t="s">
        <v>30</v>
      </c>
      <c r="C135" t="s">
        <v>419</v>
      </c>
      <c r="D135" t="s">
        <v>422</v>
      </c>
      <c r="E135">
        <v>22</v>
      </c>
      <c r="F135">
        <v>296843</v>
      </c>
      <c r="G135" t="b">
        <v>0</v>
      </c>
      <c r="H135">
        <v>0.61599999999999999</v>
      </c>
      <c r="I135">
        <v>0.81</v>
      </c>
      <c r="J135">
        <v>2</v>
      </c>
      <c r="K135">
        <v>-6.51</v>
      </c>
      <c r="L135">
        <v>1</v>
      </c>
      <c r="M135">
        <v>6.6799999999999998E-2</v>
      </c>
      <c r="N135">
        <v>0.36899999999999999</v>
      </c>
      <c r="O135">
        <v>0</v>
      </c>
      <c r="P135">
        <v>0.107</v>
      </c>
      <c r="Q135">
        <v>0.79</v>
      </c>
      <c r="R135">
        <v>97.994</v>
      </c>
      <c r="S135">
        <v>4</v>
      </c>
      <c r="T135" t="s">
        <v>4</v>
      </c>
    </row>
    <row r="136" spans="1:20" x14ac:dyDescent="0.3">
      <c r="A136" t="s">
        <v>423</v>
      </c>
      <c r="B136" t="s">
        <v>30</v>
      </c>
      <c r="C136" t="s">
        <v>419</v>
      </c>
      <c r="D136" t="s">
        <v>424</v>
      </c>
      <c r="E136">
        <v>35</v>
      </c>
      <c r="F136">
        <v>218240</v>
      </c>
      <c r="G136" t="b">
        <v>0</v>
      </c>
      <c r="H136">
        <v>0.61499999999999999</v>
      </c>
      <c r="I136">
        <v>0.81200000000000006</v>
      </c>
      <c r="J136">
        <v>7</v>
      </c>
      <c r="K136">
        <v>-6.5730000000000004</v>
      </c>
      <c r="L136">
        <v>1</v>
      </c>
      <c r="M136">
        <v>4.58E-2</v>
      </c>
      <c r="N136">
        <v>0.184</v>
      </c>
      <c r="O136">
        <v>0</v>
      </c>
      <c r="P136">
        <v>0.32800000000000001</v>
      </c>
      <c r="Q136">
        <v>0.74</v>
      </c>
      <c r="R136">
        <v>98.953999999999994</v>
      </c>
      <c r="S136">
        <v>4</v>
      </c>
      <c r="T136" t="s">
        <v>4</v>
      </c>
    </row>
    <row r="137" spans="1:20" x14ac:dyDescent="0.3">
      <c r="A137" t="s">
        <v>425</v>
      </c>
      <c r="B137" t="s">
        <v>129</v>
      </c>
      <c r="C137" t="s">
        <v>265</v>
      </c>
      <c r="D137" t="s">
        <v>426</v>
      </c>
      <c r="E137">
        <v>60</v>
      </c>
      <c r="F137">
        <v>151773</v>
      </c>
      <c r="G137" t="b">
        <v>0</v>
      </c>
      <c r="H137">
        <v>0.47799999999999998</v>
      </c>
      <c r="I137">
        <v>0.30499999999999999</v>
      </c>
      <c r="J137">
        <v>5</v>
      </c>
      <c r="K137">
        <v>-13.061999999999999</v>
      </c>
      <c r="L137">
        <v>1</v>
      </c>
      <c r="M137">
        <v>3.0599999999999999E-2</v>
      </c>
      <c r="N137">
        <v>0.67500000000000004</v>
      </c>
      <c r="O137">
        <v>1.39E-3</v>
      </c>
      <c r="P137">
        <v>0.16900000000000001</v>
      </c>
      <c r="Q137">
        <v>9.74E-2</v>
      </c>
      <c r="R137">
        <v>108.66</v>
      </c>
      <c r="S137">
        <v>4</v>
      </c>
      <c r="T137" t="s">
        <v>4</v>
      </c>
    </row>
    <row r="138" spans="1:20" x14ac:dyDescent="0.3">
      <c r="A138" t="s">
        <v>427</v>
      </c>
      <c r="B138" t="s">
        <v>258</v>
      </c>
      <c r="C138" t="s">
        <v>428</v>
      </c>
      <c r="D138" t="s">
        <v>269</v>
      </c>
      <c r="E138">
        <v>59</v>
      </c>
      <c r="F138">
        <v>181400</v>
      </c>
      <c r="G138" t="b">
        <v>0</v>
      </c>
      <c r="H138">
        <v>0.47899999999999998</v>
      </c>
      <c r="I138">
        <v>0.54100000000000004</v>
      </c>
      <c r="J138">
        <v>0</v>
      </c>
      <c r="K138">
        <v>-9.8620000000000001</v>
      </c>
      <c r="L138">
        <v>1</v>
      </c>
      <c r="M138">
        <v>5.45E-2</v>
      </c>
      <c r="N138">
        <v>0.73699999999999999</v>
      </c>
      <c r="O138">
        <v>0</v>
      </c>
      <c r="P138">
        <v>0.108</v>
      </c>
      <c r="Q138">
        <v>0.32100000000000001</v>
      </c>
      <c r="R138">
        <v>85.994</v>
      </c>
      <c r="S138">
        <v>4</v>
      </c>
      <c r="T138" t="s">
        <v>4</v>
      </c>
    </row>
    <row r="139" spans="1:20" x14ac:dyDescent="0.3">
      <c r="A139" t="s">
        <v>429</v>
      </c>
      <c r="B139" t="s">
        <v>115</v>
      </c>
      <c r="C139" t="s">
        <v>430</v>
      </c>
      <c r="D139" t="s">
        <v>304</v>
      </c>
      <c r="E139">
        <v>73</v>
      </c>
      <c r="F139">
        <v>201706</v>
      </c>
      <c r="G139" t="b">
        <v>0</v>
      </c>
      <c r="H139">
        <v>0.58699999999999997</v>
      </c>
      <c r="I139">
        <v>0.76700000000000002</v>
      </c>
      <c r="J139">
        <v>0</v>
      </c>
      <c r="K139">
        <v>-5.7130000000000001</v>
      </c>
      <c r="L139">
        <v>1</v>
      </c>
      <c r="M139">
        <v>4.4900000000000002E-2</v>
      </c>
      <c r="N139">
        <v>0.22500000000000001</v>
      </c>
      <c r="O139">
        <v>0</v>
      </c>
      <c r="P139">
        <v>0.112</v>
      </c>
      <c r="Q139">
        <v>0.66400000000000003</v>
      </c>
      <c r="R139">
        <v>100.38</v>
      </c>
      <c r="S139">
        <v>4</v>
      </c>
      <c r="T139" t="s">
        <v>4</v>
      </c>
    </row>
    <row r="140" spans="1:20" x14ac:dyDescent="0.3">
      <c r="A140" t="s">
        <v>431</v>
      </c>
      <c r="B140" t="s">
        <v>30</v>
      </c>
      <c r="C140" t="s">
        <v>419</v>
      </c>
      <c r="D140" t="s">
        <v>432</v>
      </c>
      <c r="E140">
        <v>22</v>
      </c>
      <c r="F140">
        <v>192260</v>
      </c>
      <c r="G140" t="b">
        <v>0</v>
      </c>
      <c r="H140">
        <v>0.51400000000000001</v>
      </c>
      <c r="I140">
        <v>0.56899999999999995</v>
      </c>
      <c r="J140">
        <v>6</v>
      </c>
      <c r="K140">
        <v>-7.8659999999999997</v>
      </c>
      <c r="L140">
        <v>0</v>
      </c>
      <c r="M140">
        <v>0.03</v>
      </c>
      <c r="N140">
        <v>0.60099999999999998</v>
      </c>
      <c r="O140" s="9" t="s">
        <v>433</v>
      </c>
      <c r="P140">
        <v>0.218</v>
      </c>
      <c r="Q140">
        <v>0.26400000000000001</v>
      </c>
      <c r="R140">
        <v>142.59700000000001</v>
      </c>
      <c r="S140">
        <v>4</v>
      </c>
      <c r="T140" t="s">
        <v>4</v>
      </c>
    </row>
    <row r="141" spans="1:20" x14ac:dyDescent="0.3">
      <c r="A141" t="s">
        <v>434</v>
      </c>
      <c r="B141" t="s">
        <v>30</v>
      </c>
      <c r="C141" t="s">
        <v>419</v>
      </c>
      <c r="D141" t="s">
        <v>435</v>
      </c>
      <c r="E141">
        <v>19</v>
      </c>
      <c r="F141">
        <v>198855</v>
      </c>
      <c r="G141" t="b">
        <v>0</v>
      </c>
      <c r="H141">
        <v>0.64600000000000002</v>
      </c>
      <c r="I141">
        <v>0.83599999999999997</v>
      </c>
      <c r="J141">
        <v>1</v>
      </c>
      <c r="K141">
        <v>-6.2030000000000003</v>
      </c>
      <c r="L141">
        <v>1</v>
      </c>
      <c r="M141">
        <v>3.27E-2</v>
      </c>
      <c r="N141">
        <v>0.30099999999999999</v>
      </c>
      <c r="O141" s="9" t="s">
        <v>436</v>
      </c>
      <c r="P141">
        <v>0.28999999999999998</v>
      </c>
      <c r="Q141">
        <v>0.72699999999999998</v>
      </c>
      <c r="R141">
        <v>105.991</v>
      </c>
      <c r="S141">
        <v>4</v>
      </c>
      <c r="T141" t="s">
        <v>4</v>
      </c>
    </row>
    <row r="142" spans="1:20" x14ac:dyDescent="0.3">
      <c r="A142" t="s">
        <v>437</v>
      </c>
      <c r="B142" t="s">
        <v>30</v>
      </c>
      <c r="C142" t="s">
        <v>419</v>
      </c>
      <c r="D142" t="s">
        <v>438</v>
      </c>
      <c r="E142">
        <v>24</v>
      </c>
      <c r="F142">
        <v>191889</v>
      </c>
      <c r="G142" t="b">
        <v>0</v>
      </c>
      <c r="H142">
        <v>0.56999999999999995</v>
      </c>
      <c r="I142">
        <v>0.71099999999999997</v>
      </c>
      <c r="J142">
        <v>9</v>
      </c>
      <c r="K142">
        <v>-4.1550000000000002</v>
      </c>
      <c r="L142">
        <v>1</v>
      </c>
      <c r="M142">
        <v>7.0300000000000001E-2</v>
      </c>
      <c r="N142">
        <v>0.11899999999999999</v>
      </c>
      <c r="O142">
        <v>0</v>
      </c>
      <c r="P142">
        <v>0.35199999999999998</v>
      </c>
      <c r="Q142">
        <v>0.64800000000000002</v>
      </c>
      <c r="R142">
        <v>163.11699999999999</v>
      </c>
      <c r="S142">
        <v>4</v>
      </c>
      <c r="T142" t="s">
        <v>4</v>
      </c>
    </row>
    <row r="143" spans="1:20" x14ac:dyDescent="0.3">
      <c r="A143" t="s">
        <v>439</v>
      </c>
      <c r="B143" t="s">
        <v>388</v>
      </c>
      <c r="C143" t="s">
        <v>440</v>
      </c>
      <c r="D143" t="s">
        <v>441</v>
      </c>
      <c r="E143">
        <v>57</v>
      </c>
      <c r="F143">
        <v>171293</v>
      </c>
      <c r="G143" t="b">
        <v>0</v>
      </c>
      <c r="H143">
        <v>0.67800000000000005</v>
      </c>
      <c r="I143">
        <v>0.19900000000000001</v>
      </c>
      <c r="J143">
        <v>9</v>
      </c>
      <c r="K143">
        <v>-9.7850000000000001</v>
      </c>
      <c r="L143">
        <v>1</v>
      </c>
      <c r="M143">
        <v>3.0700000000000002E-2</v>
      </c>
      <c r="N143">
        <v>0.95699999999999996</v>
      </c>
      <c r="O143" s="9" t="s">
        <v>442</v>
      </c>
      <c r="P143">
        <v>9.6799999999999997E-2</v>
      </c>
      <c r="Q143">
        <v>0.26200000000000001</v>
      </c>
      <c r="R143">
        <v>72.006</v>
      </c>
      <c r="S143">
        <v>4</v>
      </c>
      <c r="T143" t="s">
        <v>4</v>
      </c>
    </row>
    <row r="144" spans="1:20" x14ac:dyDescent="0.3">
      <c r="A144" t="s">
        <v>443</v>
      </c>
      <c r="B144" t="s">
        <v>30</v>
      </c>
      <c r="C144" t="s">
        <v>419</v>
      </c>
      <c r="D144" t="s">
        <v>444</v>
      </c>
      <c r="E144">
        <v>35</v>
      </c>
      <c r="F144">
        <v>256440</v>
      </c>
      <c r="G144" t="b">
        <v>0</v>
      </c>
      <c r="H144">
        <v>0.58899999999999997</v>
      </c>
      <c r="I144">
        <v>0.86699999999999999</v>
      </c>
      <c r="J144">
        <v>10</v>
      </c>
      <c r="K144">
        <v>-4.5229999999999997</v>
      </c>
      <c r="L144">
        <v>1</v>
      </c>
      <c r="M144">
        <v>3.85E-2</v>
      </c>
      <c r="N144">
        <v>4.1000000000000002E-2</v>
      </c>
      <c r="O144">
        <v>0</v>
      </c>
      <c r="P144">
        <v>0.30599999999999999</v>
      </c>
      <c r="Q144">
        <v>0.79500000000000004</v>
      </c>
      <c r="R144">
        <v>94.52</v>
      </c>
      <c r="S144">
        <v>4</v>
      </c>
      <c r="T144" t="s">
        <v>4</v>
      </c>
    </row>
    <row r="145" spans="1:20" x14ac:dyDescent="0.3">
      <c r="A145" t="s">
        <v>445</v>
      </c>
      <c r="B145" t="s">
        <v>30</v>
      </c>
      <c r="C145" t="s">
        <v>419</v>
      </c>
      <c r="D145" t="s">
        <v>446</v>
      </c>
      <c r="E145">
        <v>20</v>
      </c>
      <c r="F145">
        <v>221425</v>
      </c>
      <c r="G145" t="b">
        <v>0</v>
      </c>
      <c r="H145">
        <v>0.626</v>
      </c>
      <c r="I145">
        <v>0.92600000000000005</v>
      </c>
      <c r="J145">
        <v>2</v>
      </c>
      <c r="K145">
        <v>-4.4409999999999998</v>
      </c>
      <c r="L145">
        <v>1</v>
      </c>
      <c r="M145">
        <v>4.7699999999999999E-2</v>
      </c>
      <c r="N145">
        <v>2.6499999999999999E-2</v>
      </c>
      <c r="O145">
        <v>0</v>
      </c>
      <c r="P145">
        <v>0.159</v>
      </c>
      <c r="Q145">
        <v>0.54800000000000004</v>
      </c>
      <c r="R145">
        <v>99.997</v>
      </c>
      <c r="S145">
        <v>4</v>
      </c>
      <c r="T145" t="s">
        <v>4</v>
      </c>
    </row>
    <row r="146" spans="1:20" x14ac:dyDescent="0.3">
      <c r="A146" t="s">
        <v>447</v>
      </c>
      <c r="B146" t="s">
        <v>30</v>
      </c>
      <c r="C146" t="s">
        <v>419</v>
      </c>
      <c r="D146" t="s">
        <v>448</v>
      </c>
      <c r="E146">
        <v>18</v>
      </c>
      <c r="F146">
        <v>255047</v>
      </c>
      <c r="G146" t="b">
        <v>0</v>
      </c>
      <c r="H146">
        <v>0.68600000000000005</v>
      </c>
      <c r="I146">
        <v>0.55600000000000005</v>
      </c>
      <c r="J146">
        <v>1</v>
      </c>
      <c r="K146">
        <v>-8.5</v>
      </c>
      <c r="L146">
        <v>0</v>
      </c>
      <c r="M146">
        <v>2.7099999999999999E-2</v>
      </c>
      <c r="N146">
        <v>0.53200000000000003</v>
      </c>
      <c r="O146">
        <v>0</v>
      </c>
      <c r="P146">
        <v>9.2200000000000004E-2</v>
      </c>
      <c r="Q146">
        <v>0.36</v>
      </c>
      <c r="R146">
        <v>112.997</v>
      </c>
      <c r="S146">
        <v>4</v>
      </c>
      <c r="T146" t="s">
        <v>4</v>
      </c>
    </row>
    <row r="147" spans="1:20" x14ac:dyDescent="0.3">
      <c r="A147" t="s">
        <v>449</v>
      </c>
      <c r="B147" t="s">
        <v>30</v>
      </c>
      <c r="C147" t="s">
        <v>419</v>
      </c>
      <c r="D147" t="s">
        <v>450</v>
      </c>
      <c r="E147">
        <v>19</v>
      </c>
      <c r="F147">
        <v>208793</v>
      </c>
      <c r="G147" t="b">
        <v>0</v>
      </c>
      <c r="H147">
        <v>0.56000000000000005</v>
      </c>
      <c r="I147">
        <v>0.83199999999999996</v>
      </c>
      <c r="J147">
        <v>9</v>
      </c>
      <c r="K147">
        <v>-5.5949999999999998</v>
      </c>
      <c r="L147">
        <v>1</v>
      </c>
      <c r="M147">
        <v>3.5200000000000002E-2</v>
      </c>
      <c r="N147">
        <v>0.108</v>
      </c>
      <c r="O147">
        <v>0</v>
      </c>
      <c r="P147">
        <v>0.23200000000000001</v>
      </c>
      <c r="Q147">
        <v>0.80200000000000005</v>
      </c>
      <c r="R147">
        <v>100.95699999999999</v>
      </c>
      <c r="S147">
        <v>4</v>
      </c>
      <c r="T147" t="s">
        <v>4</v>
      </c>
    </row>
    <row r="148" spans="1:20" x14ac:dyDescent="0.3">
      <c r="A148" t="s">
        <v>451</v>
      </c>
      <c r="B148" t="s">
        <v>30</v>
      </c>
      <c r="C148" t="s">
        <v>419</v>
      </c>
      <c r="D148" t="s">
        <v>452</v>
      </c>
      <c r="E148">
        <v>23</v>
      </c>
      <c r="F148">
        <v>214552</v>
      </c>
      <c r="G148" t="b">
        <v>0</v>
      </c>
      <c r="H148">
        <v>0.61899999999999999</v>
      </c>
      <c r="I148">
        <v>0.79300000000000004</v>
      </c>
      <c r="J148">
        <v>5</v>
      </c>
      <c r="K148">
        <v>-5.9640000000000004</v>
      </c>
      <c r="L148">
        <v>1</v>
      </c>
      <c r="M148">
        <v>6.6100000000000006E-2</v>
      </c>
      <c r="N148">
        <v>0.26300000000000001</v>
      </c>
      <c r="O148">
        <v>0</v>
      </c>
      <c r="P148">
        <v>8.2799999999999999E-2</v>
      </c>
      <c r="Q148">
        <v>0.89200000000000002</v>
      </c>
      <c r="R148">
        <v>177.99100000000001</v>
      </c>
      <c r="S148">
        <v>4</v>
      </c>
      <c r="T148" t="s">
        <v>4</v>
      </c>
    </row>
    <row r="149" spans="1:20" x14ac:dyDescent="0.3">
      <c r="A149" t="s">
        <v>453</v>
      </c>
      <c r="B149" t="s">
        <v>30</v>
      </c>
      <c r="C149" t="s">
        <v>419</v>
      </c>
      <c r="D149" t="s">
        <v>454</v>
      </c>
      <c r="E149">
        <v>19</v>
      </c>
      <c r="F149">
        <v>264280</v>
      </c>
      <c r="G149" t="b">
        <v>0</v>
      </c>
      <c r="H149">
        <v>0.56000000000000005</v>
      </c>
      <c r="I149">
        <v>0.27800000000000002</v>
      </c>
      <c r="J149">
        <v>3</v>
      </c>
      <c r="K149">
        <v>-12.500999999999999</v>
      </c>
      <c r="L149">
        <v>1</v>
      </c>
      <c r="M149">
        <v>9.2100000000000001E-2</v>
      </c>
      <c r="N149">
        <v>0.73299999999999998</v>
      </c>
      <c r="O149">
        <v>0</v>
      </c>
      <c r="P149">
        <v>0.112</v>
      </c>
      <c r="Q149">
        <v>0.59399999999999997</v>
      </c>
      <c r="R149">
        <v>102.187</v>
      </c>
      <c r="S149">
        <v>4</v>
      </c>
      <c r="T149" t="s">
        <v>4</v>
      </c>
    </row>
    <row r="150" spans="1:20" x14ac:dyDescent="0.3">
      <c r="A150" t="s">
        <v>455</v>
      </c>
      <c r="B150" t="s">
        <v>30</v>
      </c>
      <c r="C150" t="s">
        <v>419</v>
      </c>
      <c r="D150" t="s">
        <v>456</v>
      </c>
      <c r="E150">
        <v>18</v>
      </c>
      <c r="F150">
        <v>289041</v>
      </c>
      <c r="G150" t="b">
        <v>0</v>
      </c>
      <c r="H150">
        <v>0.59499999999999997</v>
      </c>
      <c r="I150">
        <v>0.80500000000000005</v>
      </c>
      <c r="J150">
        <v>8</v>
      </c>
      <c r="K150">
        <v>-7.9260000000000002</v>
      </c>
      <c r="L150">
        <v>1</v>
      </c>
      <c r="M150">
        <v>5.4300000000000001E-2</v>
      </c>
      <c r="N150">
        <v>1.67E-2</v>
      </c>
      <c r="O150" s="9" t="s">
        <v>457</v>
      </c>
      <c r="P150">
        <v>6.9099999999999995E-2</v>
      </c>
      <c r="Q150">
        <v>0.35899999999999999</v>
      </c>
      <c r="R150">
        <v>102.44</v>
      </c>
      <c r="S150">
        <v>4</v>
      </c>
      <c r="T150" t="s">
        <v>4</v>
      </c>
    </row>
    <row r="151" spans="1:20" x14ac:dyDescent="0.3">
      <c r="A151" t="s">
        <v>458</v>
      </c>
      <c r="B151" t="s">
        <v>129</v>
      </c>
      <c r="C151" t="s">
        <v>265</v>
      </c>
      <c r="D151" t="s">
        <v>459</v>
      </c>
      <c r="E151">
        <v>65</v>
      </c>
      <c r="F151">
        <v>322080</v>
      </c>
      <c r="G151" t="b">
        <v>0</v>
      </c>
      <c r="H151">
        <v>0.438</v>
      </c>
      <c r="I151">
        <v>0.82699999999999996</v>
      </c>
      <c r="J151">
        <v>8</v>
      </c>
      <c r="K151">
        <v>-6.5309999999999997</v>
      </c>
      <c r="L151">
        <v>1</v>
      </c>
      <c r="M151">
        <v>3.2800000000000003E-2</v>
      </c>
      <c r="N151">
        <v>5.1200000000000002E-2</v>
      </c>
      <c r="O151">
        <v>4.0200000000000001E-4</v>
      </c>
      <c r="P151">
        <v>0.31900000000000001</v>
      </c>
      <c r="Q151">
        <v>0.64500000000000002</v>
      </c>
      <c r="R151">
        <v>143.37700000000001</v>
      </c>
      <c r="S151">
        <v>4</v>
      </c>
      <c r="T151" t="s">
        <v>4</v>
      </c>
    </row>
    <row r="152" spans="1:20" x14ac:dyDescent="0.3">
      <c r="A152" t="s">
        <v>460</v>
      </c>
      <c r="B152" t="s">
        <v>461</v>
      </c>
      <c r="C152" t="s">
        <v>462</v>
      </c>
      <c r="D152" t="s">
        <v>462</v>
      </c>
      <c r="E152">
        <v>55</v>
      </c>
      <c r="F152">
        <v>238971</v>
      </c>
      <c r="G152" t="b">
        <v>0</v>
      </c>
      <c r="H152">
        <v>0.58199999999999996</v>
      </c>
      <c r="I152">
        <v>0.375</v>
      </c>
      <c r="J152">
        <v>1</v>
      </c>
      <c r="K152">
        <v>-13.276999999999999</v>
      </c>
      <c r="L152">
        <v>0</v>
      </c>
      <c r="M152">
        <v>3.2899999999999999E-2</v>
      </c>
      <c r="N152">
        <v>0.70199999999999996</v>
      </c>
      <c r="O152">
        <v>6.3100000000000003E-2</v>
      </c>
      <c r="P152">
        <v>0.13600000000000001</v>
      </c>
      <c r="Q152">
        <v>0.106</v>
      </c>
      <c r="R152">
        <v>129.90899999999999</v>
      </c>
      <c r="S152">
        <v>4</v>
      </c>
      <c r="T152" t="s">
        <v>4</v>
      </c>
    </row>
    <row r="153" spans="1:20" x14ac:dyDescent="0.3">
      <c r="A153" t="s">
        <v>463</v>
      </c>
      <c r="B153" t="s">
        <v>464</v>
      </c>
      <c r="C153" t="s">
        <v>465</v>
      </c>
      <c r="D153" t="s">
        <v>466</v>
      </c>
      <c r="E153">
        <v>47</v>
      </c>
      <c r="F153">
        <v>276575</v>
      </c>
      <c r="G153" t="b">
        <v>0</v>
      </c>
      <c r="H153">
        <v>0.45300000000000001</v>
      </c>
      <c r="I153">
        <v>0.29499999999999998</v>
      </c>
      <c r="J153">
        <v>7</v>
      </c>
      <c r="K153">
        <v>-12.881</v>
      </c>
      <c r="L153">
        <v>1</v>
      </c>
      <c r="M153">
        <v>2.9100000000000001E-2</v>
      </c>
      <c r="N153">
        <v>0.51800000000000002</v>
      </c>
      <c r="O153">
        <v>1.1E-4</v>
      </c>
      <c r="P153">
        <v>0.29299999999999998</v>
      </c>
      <c r="Q153">
        <v>0.14000000000000001</v>
      </c>
      <c r="R153">
        <v>146.02199999999999</v>
      </c>
      <c r="S153">
        <v>4</v>
      </c>
      <c r="T153" t="s">
        <v>4</v>
      </c>
    </row>
    <row r="154" spans="1:20" x14ac:dyDescent="0.3">
      <c r="A154" t="s">
        <v>467</v>
      </c>
      <c r="B154" t="s">
        <v>393</v>
      </c>
      <c r="C154" t="s">
        <v>468</v>
      </c>
      <c r="D154" t="s">
        <v>469</v>
      </c>
      <c r="E154">
        <v>56</v>
      </c>
      <c r="F154">
        <v>249120</v>
      </c>
      <c r="G154" t="b">
        <v>0</v>
      </c>
      <c r="H154">
        <v>0.63600000000000001</v>
      </c>
      <c r="I154">
        <v>0.625</v>
      </c>
      <c r="J154">
        <v>11</v>
      </c>
      <c r="K154">
        <v>-7.8949999999999996</v>
      </c>
      <c r="L154">
        <v>1</v>
      </c>
      <c r="M154">
        <v>2.7699999999999999E-2</v>
      </c>
      <c r="N154">
        <v>0.222</v>
      </c>
      <c r="O154" s="9" t="s">
        <v>470</v>
      </c>
      <c r="P154">
        <v>0.11899999999999999</v>
      </c>
      <c r="Q154">
        <v>0.34200000000000003</v>
      </c>
      <c r="R154">
        <v>93.930999999999997</v>
      </c>
      <c r="S154">
        <v>4</v>
      </c>
      <c r="T154" t="s">
        <v>4</v>
      </c>
    </row>
    <row r="155" spans="1:20" x14ac:dyDescent="0.3">
      <c r="A155" t="s">
        <v>471</v>
      </c>
      <c r="B155" t="s">
        <v>472</v>
      </c>
      <c r="C155" t="s">
        <v>473</v>
      </c>
      <c r="D155" t="s">
        <v>473</v>
      </c>
      <c r="E155">
        <v>53</v>
      </c>
      <c r="F155">
        <v>111734</v>
      </c>
      <c r="G155" t="b">
        <v>0</v>
      </c>
      <c r="H155">
        <v>0.63900000000000001</v>
      </c>
      <c r="I155">
        <v>0.20100000000000001</v>
      </c>
      <c r="J155">
        <v>7</v>
      </c>
      <c r="K155">
        <v>-16.613</v>
      </c>
      <c r="L155">
        <v>0</v>
      </c>
      <c r="M155">
        <v>5.2600000000000001E-2</v>
      </c>
      <c r="N155">
        <v>0.90700000000000003</v>
      </c>
      <c r="O155" s="9" t="s">
        <v>474</v>
      </c>
      <c r="P155">
        <v>0.124</v>
      </c>
      <c r="Q155">
        <v>0.4</v>
      </c>
      <c r="R155">
        <v>88.106999999999999</v>
      </c>
      <c r="S155">
        <v>4</v>
      </c>
      <c r="T155" t="s">
        <v>4</v>
      </c>
    </row>
    <row r="156" spans="1:20" x14ac:dyDescent="0.3">
      <c r="A156" t="s">
        <v>475</v>
      </c>
      <c r="B156" t="s">
        <v>336</v>
      </c>
      <c r="C156" t="s">
        <v>337</v>
      </c>
      <c r="D156" t="s">
        <v>476</v>
      </c>
      <c r="E156">
        <v>49</v>
      </c>
      <c r="F156">
        <v>210760</v>
      </c>
      <c r="G156" t="b">
        <v>0</v>
      </c>
      <c r="H156">
        <v>0.69</v>
      </c>
      <c r="I156">
        <v>0.42299999999999999</v>
      </c>
      <c r="J156">
        <v>2</v>
      </c>
      <c r="K156">
        <v>-9.1940000000000008</v>
      </c>
      <c r="L156">
        <v>0</v>
      </c>
      <c r="M156">
        <v>2.9399999999999999E-2</v>
      </c>
      <c r="N156">
        <v>0.88300000000000001</v>
      </c>
      <c r="O156">
        <v>1.23E-2</v>
      </c>
      <c r="P156">
        <v>0.111</v>
      </c>
      <c r="Q156">
        <v>0.59</v>
      </c>
      <c r="R156">
        <v>130.12100000000001</v>
      </c>
      <c r="S156">
        <v>4</v>
      </c>
      <c r="T156" t="s">
        <v>4</v>
      </c>
    </row>
    <row r="157" spans="1:20" x14ac:dyDescent="0.3">
      <c r="A157" t="s">
        <v>477</v>
      </c>
      <c r="B157" t="s">
        <v>478</v>
      </c>
      <c r="C157" t="s">
        <v>479</v>
      </c>
      <c r="D157" t="s">
        <v>479</v>
      </c>
      <c r="E157">
        <v>51</v>
      </c>
      <c r="F157">
        <v>255688</v>
      </c>
      <c r="G157" t="b">
        <v>0</v>
      </c>
      <c r="H157">
        <v>0.59899999999999998</v>
      </c>
      <c r="I157">
        <v>0.34899999999999998</v>
      </c>
      <c r="J157">
        <v>1</v>
      </c>
      <c r="K157">
        <v>-9.2690000000000001</v>
      </c>
      <c r="L157">
        <v>1</v>
      </c>
      <c r="M157">
        <v>3.0099999999999998E-2</v>
      </c>
      <c r="N157">
        <v>0.81899999999999995</v>
      </c>
      <c r="O157">
        <v>0</v>
      </c>
      <c r="P157">
        <v>0.112</v>
      </c>
      <c r="Q157">
        <v>0.44400000000000001</v>
      </c>
      <c r="R157">
        <v>147.91300000000001</v>
      </c>
      <c r="S157">
        <v>4</v>
      </c>
      <c r="T157" t="s">
        <v>4</v>
      </c>
    </row>
    <row r="158" spans="1:20" x14ac:dyDescent="0.3">
      <c r="A158" t="s">
        <v>480</v>
      </c>
      <c r="B158" t="s">
        <v>19</v>
      </c>
      <c r="C158" t="s">
        <v>481</v>
      </c>
      <c r="D158" t="s">
        <v>481</v>
      </c>
      <c r="E158">
        <v>53</v>
      </c>
      <c r="F158">
        <v>181786</v>
      </c>
      <c r="G158" t="b">
        <v>0</v>
      </c>
      <c r="H158">
        <v>0.51900000000000002</v>
      </c>
      <c r="I158">
        <v>0.26400000000000001</v>
      </c>
      <c r="J158">
        <v>0</v>
      </c>
      <c r="K158">
        <v>-11.170999999999999</v>
      </c>
      <c r="L158">
        <v>1</v>
      </c>
      <c r="M158">
        <v>6.0100000000000001E-2</v>
      </c>
      <c r="N158">
        <v>0.91800000000000004</v>
      </c>
      <c r="O158">
        <v>2.5300000000000002E-4</v>
      </c>
      <c r="P158">
        <v>0.23699999999999999</v>
      </c>
      <c r="Q158">
        <v>0.192</v>
      </c>
      <c r="R158">
        <v>140.35400000000001</v>
      </c>
      <c r="S158">
        <v>4</v>
      </c>
      <c r="T158" t="s">
        <v>4</v>
      </c>
    </row>
    <row r="159" spans="1:20" x14ac:dyDescent="0.3">
      <c r="A159" t="s">
        <v>482</v>
      </c>
      <c r="B159" t="s">
        <v>228</v>
      </c>
      <c r="C159" t="s">
        <v>483</v>
      </c>
      <c r="D159" t="s">
        <v>484</v>
      </c>
      <c r="E159">
        <v>66</v>
      </c>
      <c r="F159">
        <v>244600</v>
      </c>
      <c r="G159" t="b">
        <v>0</v>
      </c>
      <c r="H159">
        <v>0.64300000000000002</v>
      </c>
      <c r="I159">
        <v>0.56899999999999995</v>
      </c>
      <c r="J159">
        <v>7</v>
      </c>
      <c r="K159">
        <v>-7.4589999999999996</v>
      </c>
      <c r="L159">
        <v>1</v>
      </c>
      <c r="M159">
        <v>2.76E-2</v>
      </c>
      <c r="N159">
        <v>0.54400000000000004</v>
      </c>
      <c r="O159" s="9" t="s">
        <v>485</v>
      </c>
      <c r="P159">
        <v>0.17799999999999999</v>
      </c>
      <c r="Q159">
        <v>0.27500000000000002</v>
      </c>
      <c r="R159">
        <v>120.50700000000001</v>
      </c>
      <c r="S159">
        <v>4</v>
      </c>
      <c r="T159" t="s">
        <v>4</v>
      </c>
    </row>
    <row r="160" spans="1:20" x14ac:dyDescent="0.3">
      <c r="A160" t="s">
        <v>486</v>
      </c>
      <c r="B160" t="s">
        <v>164</v>
      </c>
      <c r="C160" t="s">
        <v>487</v>
      </c>
      <c r="D160" t="s">
        <v>488</v>
      </c>
      <c r="E160">
        <v>56</v>
      </c>
      <c r="F160">
        <v>174546</v>
      </c>
      <c r="G160" t="b">
        <v>0</v>
      </c>
      <c r="H160">
        <v>0.57299999999999995</v>
      </c>
      <c r="I160">
        <v>0.624</v>
      </c>
      <c r="J160">
        <v>1</v>
      </c>
      <c r="K160">
        <v>-9.0760000000000005</v>
      </c>
      <c r="L160">
        <v>0</v>
      </c>
      <c r="M160">
        <v>3.2399999999999998E-2</v>
      </c>
      <c r="N160">
        <v>0.47099999999999997</v>
      </c>
      <c r="O160">
        <v>0.11700000000000001</v>
      </c>
      <c r="P160">
        <v>0.114</v>
      </c>
      <c r="Q160">
        <v>0.52900000000000003</v>
      </c>
      <c r="R160">
        <v>161.02500000000001</v>
      </c>
      <c r="S160">
        <v>4</v>
      </c>
      <c r="T160" t="s">
        <v>4</v>
      </c>
    </row>
    <row r="161" spans="1:20" x14ac:dyDescent="0.3">
      <c r="A161" t="s">
        <v>489</v>
      </c>
      <c r="B161" t="s">
        <v>406</v>
      </c>
      <c r="C161" t="s">
        <v>490</v>
      </c>
      <c r="D161" t="s">
        <v>491</v>
      </c>
      <c r="E161">
        <v>47</v>
      </c>
      <c r="F161">
        <v>234330</v>
      </c>
      <c r="G161" t="b">
        <v>0</v>
      </c>
      <c r="H161">
        <v>0.65400000000000003</v>
      </c>
      <c r="I161">
        <v>0.82099999999999995</v>
      </c>
      <c r="J161">
        <v>7</v>
      </c>
      <c r="K161">
        <v>-5.4720000000000004</v>
      </c>
      <c r="L161">
        <v>1</v>
      </c>
      <c r="M161">
        <v>2.64E-2</v>
      </c>
      <c r="N161">
        <v>6.6600000000000001E-3</v>
      </c>
      <c r="O161">
        <v>2.99E-3</v>
      </c>
      <c r="P161">
        <v>0.22800000000000001</v>
      </c>
      <c r="Q161">
        <v>0.61299999999999999</v>
      </c>
      <c r="R161">
        <v>111.958</v>
      </c>
      <c r="S161">
        <v>4</v>
      </c>
      <c r="T161" t="s">
        <v>4</v>
      </c>
    </row>
    <row r="162" spans="1:20" x14ac:dyDescent="0.3">
      <c r="A162" t="s">
        <v>492</v>
      </c>
      <c r="B162" t="s">
        <v>493</v>
      </c>
      <c r="C162" t="s">
        <v>494</v>
      </c>
      <c r="D162" t="s">
        <v>495</v>
      </c>
      <c r="E162">
        <v>51</v>
      </c>
      <c r="F162">
        <v>255600</v>
      </c>
      <c r="G162" t="b">
        <v>0</v>
      </c>
      <c r="H162">
        <v>0.42599999999999999</v>
      </c>
      <c r="I162">
        <v>0.39900000000000002</v>
      </c>
      <c r="J162">
        <v>0</v>
      </c>
      <c r="K162">
        <v>-8.4469999999999992</v>
      </c>
      <c r="L162">
        <v>1</v>
      </c>
      <c r="M162">
        <v>3.4000000000000002E-2</v>
      </c>
      <c r="N162">
        <v>0.76100000000000001</v>
      </c>
      <c r="O162">
        <v>1.1199999999999999E-3</v>
      </c>
      <c r="P162">
        <v>0.11799999999999999</v>
      </c>
      <c r="Q162">
        <v>0.217</v>
      </c>
      <c r="R162">
        <v>115.979</v>
      </c>
      <c r="S162">
        <v>4</v>
      </c>
      <c r="T162" t="s">
        <v>4</v>
      </c>
    </row>
    <row r="163" spans="1:20" x14ac:dyDescent="0.3">
      <c r="A163" t="s">
        <v>496</v>
      </c>
      <c r="B163" t="s">
        <v>497</v>
      </c>
      <c r="C163" t="s">
        <v>498</v>
      </c>
      <c r="D163" t="s">
        <v>498</v>
      </c>
      <c r="E163">
        <v>55</v>
      </c>
      <c r="F163">
        <v>176542</v>
      </c>
      <c r="G163" t="b">
        <v>0</v>
      </c>
      <c r="H163">
        <v>0.505</v>
      </c>
      <c r="I163">
        <v>0.21</v>
      </c>
      <c r="J163">
        <v>11</v>
      </c>
      <c r="K163">
        <v>-11.349</v>
      </c>
      <c r="L163">
        <v>1</v>
      </c>
      <c r="M163">
        <v>2.9499999999999998E-2</v>
      </c>
      <c r="N163">
        <v>0.90700000000000003</v>
      </c>
      <c r="O163">
        <v>0</v>
      </c>
      <c r="P163">
        <v>0.11</v>
      </c>
      <c r="Q163">
        <v>0.32300000000000001</v>
      </c>
      <c r="R163">
        <v>80.721000000000004</v>
      </c>
      <c r="S163">
        <v>4</v>
      </c>
      <c r="T163" t="s">
        <v>4</v>
      </c>
    </row>
    <row r="164" spans="1:20" x14ac:dyDescent="0.3">
      <c r="A164" t="s">
        <v>499</v>
      </c>
      <c r="B164" t="s">
        <v>30</v>
      </c>
      <c r="C164" t="s">
        <v>32</v>
      </c>
      <c r="D164" t="s">
        <v>32</v>
      </c>
      <c r="E164">
        <v>60</v>
      </c>
      <c r="F164">
        <v>243494</v>
      </c>
      <c r="G164" t="b">
        <v>0</v>
      </c>
      <c r="H164">
        <v>0.69299999999999995</v>
      </c>
      <c r="I164">
        <v>0.43</v>
      </c>
      <c r="J164">
        <v>11</v>
      </c>
      <c r="K164">
        <v>-9.3949999999999996</v>
      </c>
      <c r="L164">
        <v>1</v>
      </c>
      <c r="M164">
        <v>4.4200000000000003E-2</v>
      </c>
      <c r="N164">
        <v>0.56499999999999995</v>
      </c>
      <c r="O164">
        <v>0</v>
      </c>
      <c r="P164">
        <v>9.2799999999999994E-2</v>
      </c>
      <c r="Q164">
        <v>0.73099999999999998</v>
      </c>
      <c r="R164">
        <v>151.001</v>
      </c>
      <c r="S164">
        <v>4</v>
      </c>
      <c r="T164" t="s">
        <v>4</v>
      </c>
    </row>
    <row r="165" spans="1:20" x14ac:dyDescent="0.3">
      <c r="A165" t="s">
        <v>500</v>
      </c>
      <c r="B165" t="s">
        <v>501</v>
      </c>
      <c r="C165" t="s">
        <v>502</v>
      </c>
      <c r="D165" t="s">
        <v>502</v>
      </c>
      <c r="E165">
        <v>40</v>
      </c>
      <c r="F165">
        <v>188695</v>
      </c>
      <c r="G165" t="b">
        <v>0</v>
      </c>
      <c r="H165">
        <v>0.73899999999999999</v>
      </c>
      <c r="I165">
        <v>0.28699999999999998</v>
      </c>
      <c r="J165">
        <v>6</v>
      </c>
      <c r="K165">
        <v>-14.007</v>
      </c>
      <c r="L165">
        <v>0</v>
      </c>
      <c r="M165">
        <v>5.8999999999999997E-2</v>
      </c>
      <c r="N165">
        <v>0.96899999999999997</v>
      </c>
      <c r="O165">
        <v>0.96099999999999997</v>
      </c>
      <c r="P165">
        <v>0.111</v>
      </c>
      <c r="Q165">
        <v>0.55700000000000005</v>
      </c>
      <c r="R165">
        <v>80.64</v>
      </c>
      <c r="S165">
        <v>4</v>
      </c>
      <c r="T165" t="s">
        <v>4</v>
      </c>
    </row>
    <row r="166" spans="1:20" x14ac:dyDescent="0.3">
      <c r="A166" t="s">
        <v>503</v>
      </c>
      <c r="B166" t="s">
        <v>25</v>
      </c>
      <c r="C166" t="s">
        <v>27</v>
      </c>
      <c r="D166" t="s">
        <v>27</v>
      </c>
      <c r="E166">
        <v>58</v>
      </c>
      <c r="F166">
        <v>229400</v>
      </c>
      <c r="G166" t="b">
        <v>0</v>
      </c>
      <c r="H166">
        <v>0.45300000000000001</v>
      </c>
      <c r="I166">
        <v>0.14599999999999999</v>
      </c>
      <c r="J166">
        <v>2</v>
      </c>
      <c r="K166">
        <v>-8.9760000000000009</v>
      </c>
      <c r="L166">
        <v>1</v>
      </c>
      <c r="M166">
        <v>3.4299999999999997E-2</v>
      </c>
      <c r="N166">
        <v>0.86699999999999999</v>
      </c>
      <c r="O166" s="9" t="s">
        <v>504</v>
      </c>
      <c r="P166">
        <v>9.4500000000000001E-2</v>
      </c>
      <c r="Q166">
        <v>9.1499999999999998E-2</v>
      </c>
      <c r="R166">
        <v>137.905</v>
      </c>
      <c r="S166">
        <v>3</v>
      </c>
      <c r="T166" t="s">
        <v>4</v>
      </c>
    </row>
    <row r="167" spans="1:20" x14ac:dyDescent="0.3">
      <c r="A167" t="s">
        <v>505</v>
      </c>
      <c r="B167" t="s">
        <v>411</v>
      </c>
      <c r="C167" t="s">
        <v>411</v>
      </c>
      <c r="D167" t="s">
        <v>506</v>
      </c>
      <c r="E167">
        <v>55</v>
      </c>
      <c r="F167">
        <v>216853</v>
      </c>
      <c r="G167" t="b">
        <v>0</v>
      </c>
      <c r="H167">
        <v>0.60599999999999998</v>
      </c>
      <c r="I167">
        <v>0.54</v>
      </c>
      <c r="J167">
        <v>7</v>
      </c>
      <c r="K167">
        <v>-6.2709999999999999</v>
      </c>
      <c r="L167">
        <v>0</v>
      </c>
      <c r="M167">
        <v>3.39E-2</v>
      </c>
      <c r="N167">
        <v>0.182</v>
      </c>
      <c r="O167">
        <v>1.44E-4</v>
      </c>
      <c r="P167">
        <v>0.14399999999999999</v>
      </c>
      <c r="Q167">
        <v>0.249</v>
      </c>
      <c r="R167">
        <v>79.951999999999998</v>
      </c>
      <c r="S167">
        <v>4</v>
      </c>
      <c r="T167" t="s">
        <v>4</v>
      </c>
    </row>
    <row r="168" spans="1:20" x14ac:dyDescent="0.3">
      <c r="A168" t="s">
        <v>507</v>
      </c>
      <c r="B168" t="s">
        <v>508</v>
      </c>
      <c r="C168" t="s">
        <v>509</v>
      </c>
      <c r="D168" t="s">
        <v>510</v>
      </c>
      <c r="E168">
        <v>50</v>
      </c>
      <c r="F168">
        <v>149000</v>
      </c>
      <c r="G168" t="b">
        <v>0</v>
      </c>
      <c r="H168">
        <v>0.59499999999999997</v>
      </c>
      <c r="I168">
        <v>0.64600000000000002</v>
      </c>
      <c r="J168">
        <v>0</v>
      </c>
      <c r="K168">
        <v>-5.4950000000000001</v>
      </c>
      <c r="L168">
        <v>1</v>
      </c>
      <c r="M168">
        <v>3.27E-2</v>
      </c>
      <c r="N168">
        <v>0.11</v>
      </c>
      <c r="O168">
        <v>0</v>
      </c>
      <c r="P168">
        <v>0.25800000000000001</v>
      </c>
      <c r="Q168">
        <v>0.56299999999999994</v>
      </c>
      <c r="R168">
        <v>120.04900000000001</v>
      </c>
      <c r="S168">
        <v>4</v>
      </c>
      <c r="T168" t="s">
        <v>4</v>
      </c>
    </row>
    <row r="169" spans="1:20" x14ac:dyDescent="0.3">
      <c r="A169" t="s">
        <v>511</v>
      </c>
      <c r="B169" t="s">
        <v>512</v>
      </c>
      <c r="C169" t="s">
        <v>513</v>
      </c>
      <c r="D169" t="s">
        <v>514</v>
      </c>
      <c r="E169">
        <v>52</v>
      </c>
      <c r="F169">
        <v>157231</v>
      </c>
      <c r="G169" t="b">
        <v>0</v>
      </c>
      <c r="H169">
        <v>0.73599999999999999</v>
      </c>
      <c r="I169">
        <v>0.14499999999999999</v>
      </c>
      <c r="J169">
        <v>11</v>
      </c>
      <c r="K169">
        <v>-9.2149999999999999</v>
      </c>
      <c r="L169">
        <v>1</v>
      </c>
      <c r="M169">
        <v>3.3599999999999998E-2</v>
      </c>
      <c r="N169">
        <v>0.85499999999999998</v>
      </c>
      <c r="O169">
        <v>0</v>
      </c>
      <c r="P169">
        <v>0.108</v>
      </c>
      <c r="Q169">
        <v>0.23499999999999999</v>
      </c>
      <c r="R169">
        <v>129.83199999999999</v>
      </c>
      <c r="S169">
        <v>4</v>
      </c>
      <c r="T169" t="s">
        <v>4</v>
      </c>
    </row>
    <row r="170" spans="1:20" x14ac:dyDescent="0.3">
      <c r="A170" t="s">
        <v>515</v>
      </c>
      <c r="B170" t="s">
        <v>497</v>
      </c>
      <c r="C170" t="s">
        <v>516</v>
      </c>
      <c r="D170" t="s">
        <v>516</v>
      </c>
      <c r="E170">
        <v>54</v>
      </c>
      <c r="F170">
        <v>226603</v>
      </c>
      <c r="G170" t="b">
        <v>0</v>
      </c>
      <c r="H170">
        <v>0.47899999999999998</v>
      </c>
      <c r="I170">
        <v>0.126</v>
      </c>
      <c r="J170">
        <v>1</v>
      </c>
      <c r="K170">
        <v>-13.974</v>
      </c>
      <c r="L170">
        <v>1</v>
      </c>
      <c r="M170">
        <v>3.0300000000000001E-2</v>
      </c>
      <c r="N170">
        <v>0.96599999999999997</v>
      </c>
      <c r="O170">
        <v>0</v>
      </c>
      <c r="P170">
        <v>0.113</v>
      </c>
      <c r="Q170">
        <v>0.27900000000000003</v>
      </c>
      <c r="R170">
        <v>96.326999999999998</v>
      </c>
      <c r="S170">
        <v>4</v>
      </c>
      <c r="T170" t="s">
        <v>4</v>
      </c>
    </row>
    <row r="171" spans="1:20" x14ac:dyDescent="0.3">
      <c r="A171" t="s">
        <v>517</v>
      </c>
      <c r="B171" t="s">
        <v>184</v>
      </c>
      <c r="C171" t="s">
        <v>185</v>
      </c>
      <c r="D171" t="s">
        <v>518</v>
      </c>
      <c r="E171">
        <v>73</v>
      </c>
      <c r="F171">
        <v>258826</v>
      </c>
      <c r="G171" t="b">
        <v>0</v>
      </c>
      <c r="H171">
        <v>0.58299999999999996</v>
      </c>
      <c r="I171">
        <v>0.78600000000000003</v>
      </c>
      <c r="J171">
        <v>2</v>
      </c>
      <c r="K171">
        <v>-3.1419999999999999</v>
      </c>
      <c r="L171">
        <v>0</v>
      </c>
      <c r="M171">
        <v>3.0099999999999998E-2</v>
      </c>
      <c r="N171">
        <v>2.0799999999999999E-2</v>
      </c>
      <c r="O171">
        <v>0</v>
      </c>
      <c r="P171">
        <v>0.188</v>
      </c>
      <c r="Q171">
        <v>0.57299999999999995</v>
      </c>
      <c r="R171">
        <v>123.05500000000001</v>
      </c>
      <c r="S171">
        <v>4</v>
      </c>
      <c r="T171" t="s">
        <v>4</v>
      </c>
    </row>
    <row r="172" spans="1:20" x14ac:dyDescent="0.3">
      <c r="A172" t="s">
        <v>519</v>
      </c>
      <c r="B172" t="s">
        <v>63</v>
      </c>
      <c r="C172" t="s">
        <v>520</v>
      </c>
      <c r="D172" t="s">
        <v>520</v>
      </c>
      <c r="E172">
        <v>38</v>
      </c>
      <c r="F172">
        <v>194013</v>
      </c>
      <c r="G172" t="b">
        <v>0</v>
      </c>
      <c r="H172">
        <v>0.54900000000000004</v>
      </c>
      <c r="I172">
        <v>0.29099999999999998</v>
      </c>
      <c r="J172">
        <v>2</v>
      </c>
      <c r="K172">
        <v>-13.457000000000001</v>
      </c>
      <c r="L172">
        <v>1</v>
      </c>
      <c r="M172">
        <v>3.8800000000000001E-2</v>
      </c>
      <c r="N172">
        <v>0.85799999999999998</v>
      </c>
      <c r="O172">
        <v>8.4599999999999996E-4</v>
      </c>
      <c r="P172">
        <v>0.129</v>
      </c>
      <c r="Q172">
        <v>0.376</v>
      </c>
      <c r="R172">
        <v>75.153000000000006</v>
      </c>
      <c r="S172">
        <v>4</v>
      </c>
      <c r="T172" t="s">
        <v>4</v>
      </c>
    </row>
    <row r="173" spans="1:20" x14ac:dyDescent="0.3">
      <c r="A173" t="s">
        <v>521</v>
      </c>
      <c r="B173" t="s">
        <v>522</v>
      </c>
      <c r="C173" t="s">
        <v>523</v>
      </c>
      <c r="D173" t="s">
        <v>524</v>
      </c>
      <c r="E173">
        <v>53</v>
      </c>
      <c r="F173">
        <v>242439</v>
      </c>
      <c r="G173" t="b">
        <v>0</v>
      </c>
      <c r="H173">
        <v>0.41799999999999998</v>
      </c>
      <c r="I173">
        <v>0.48899999999999999</v>
      </c>
      <c r="J173">
        <v>6</v>
      </c>
      <c r="K173">
        <v>-8.3729999999999993</v>
      </c>
      <c r="L173">
        <v>0</v>
      </c>
      <c r="M173">
        <v>3.2300000000000002E-2</v>
      </c>
      <c r="N173">
        <v>0.28699999999999998</v>
      </c>
      <c r="O173">
        <v>2.8799999999999999E-2</v>
      </c>
      <c r="P173">
        <v>0.42</v>
      </c>
      <c r="Q173">
        <v>0.39800000000000002</v>
      </c>
      <c r="R173">
        <v>72.891000000000005</v>
      </c>
      <c r="S173">
        <v>4</v>
      </c>
      <c r="T173" t="s">
        <v>4</v>
      </c>
    </row>
    <row r="174" spans="1:20" x14ac:dyDescent="0.3">
      <c r="A174" t="s">
        <v>525</v>
      </c>
      <c r="B174" t="s">
        <v>526</v>
      </c>
      <c r="C174" t="s">
        <v>527</v>
      </c>
      <c r="D174" t="s">
        <v>527</v>
      </c>
      <c r="E174">
        <v>55</v>
      </c>
      <c r="F174">
        <v>232500</v>
      </c>
      <c r="G174" t="b">
        <v>0</v>
      </c>
      <c r="H174">
        <v>0.498</v>
      </c>
      <c r="I174">
        <v>0.12</v>
      </c>
      <c r="J174">
        <v>0</v>
      </c>
      <c r="K174">
        <v>-17.721</v>
      </c>
      <c r="L174">
        <v>1</v>
      </c>
      <c r="M174">
        <v>4.87E-2</v>
      </c>
      <c r="N174">
        <v>0.85099999999999998</v>
      </c>
      <c r="O174">
        <v>0</v>
      </c>
      <c r="P174">
        <v>0.17100000000000001</v>
      </c>
      <c r="Q174">
        <v>0.33800000000000002</v>
      </c>
      <c r="R174">
        <v>121.187</v>
      </c>
      <c r="S174">
        <v>4</v>
      </c>
      <c r="T174" t="s">
        <v>4</v>
      </c>
    </row>
    <row r="175" spans="1:20" x14ac:dyDescent="0.3">
      <c r="A175" t="s">
        <v>528</v>
      </c>
      <c r="B175" t="s">
        <v>529</v>
      </c>
      <c r="C175" t="s">
        <v>530</v>
      </c>
      <c r="D175" t="s">
        <v>530</v>
      </c>
      <c r="E175">
        <v>41</v>
      </c>
      <c r="F175">
        <v>156787</v>
      </c>
      <c r="G175" t="b">
        <v>0</v>
      </c>
      <c r="H175">
        <v>0.76900000000000002</v>
      </c>
      <c r="I175">
        <v>0.13500000000000001</v>
      </c>
      <c r="J175">
        <v>5</v>
      </c>
      <c r="K175">
        <v>-12.048999999999999</v>
      </c>
      <c r="L175">
        <v>0</v>
      </c>
      <c r="M175">
        <v>6.0999999999999999E-2</v>
      </c>
      <c r="N175">
        <v>0.98599999999999999</v>
      </c>
      <c r="O175">
        <v>0.90500000000000003</v>
      </c>
      <c r="P175">
        <v>0.106</v>
      </c>
      <c r="Q175">
        <v>0.47099999999999997</v>
      </c>
      <c r="R175">
        <v>103.93899999999999</v>
      </c>
      <c r="S175">
        <v>4</v>
      </c>
      <c r="T175" t="s">
        <v>4</v>
      </c>
    </row>
    <row r="176" spans="1:20" x14ac:dyDescent="0.3">
      <c r="A176" t="s">
        <v>531</v>
      </c>
      <c r="B176" t="s">
        <v>532</v>
      </c>
      <c r="C176" t="s">
        <v>533</v>
      </c>
      <c r="D176" t="s">
        <v>533</v>
      </c>
      <c r="E176">
        <v>46</v>
      </c>
      <c r="F176">
        <v>263823</v>
      </c>
      <c r="G176" t="b">
        <v>0</v>
      </c>
      <c r="H176">
        <v>0.434</v>
      </c>
      <c r="I176">
        <v>0.46899999999999997</v>
      </c>
      <c r="J176">
        <v>0</v>
      </c>
      <c r="K176">
        <v>-7.8490000000000002</v>
      </c>
      <c r="L176">
        <v>0</v>
      </c>
      <c r="M176">
        <v>2.6499999999999999E-2</v>
      </c>
      <c r="N176">
        <v>0.52</v>
      </c>
      <c r="O176">
        <v>3.28E-4</v>
      </c>
      <c r="P176">
        <v>0.108</v>
      </c>
      <c r="Q176">
        <v>5.6800000000000003E-2</v>
      </c>
      <c r="R176">
        <v>136.28200000000001</v>
      </c>
      <c r="S176">
        <v>4</v>
      </c>
      <c r="T176" t="s">
        <v>4</v>
      </c>
    </row>
    <row r="177" spans="1:20" x14ac:dyDescent="0.3">
      <c r="A177" t="s">
        <v>534</v>
      </c>
      <c r="B177" t="s">
        <v>535</v>
      </c>
      <c r="C177" t="s">
        <v>536</v>
      </c>
      <c r="D177" t="s">
        <v>536</v>
      </c>
      <c r="E177">
        <v>63</v>
      </c>
      <c r="F177">
        <v>250916</v>
      </c>
      <c r="G177" t="b">
        <v>0</v>
      </c>
      <c r="H177">
        <v>0.45200000000000001</v>
      </c>
      <c r="I177">
        <v>0.19800000000000001</v>
      </c>
      <c r="J177">
        <v>10</v>
      </c>
      <c r="K177">
        <v>-9.3740000000000006</v>
      </c>
      <c r="L177">
        <v>1</v>
      </c>
      <c r="M177">
        <v>3.3500000000000002E-2</v>
      </c>
      <c r="N177">
        <v>0.93100000000000005</v>
      </c>
      <c r="O177" s="9" t="s">
        <v>537</v>
      </c>
      <c r="P177">
        <v>0.1</v>
      </c>
      <c r="Q177">
        <v>0.217</v>
      </c>
      <c r="R177">
        <v>119.499</v>
      </c>
      <c r="S177">
        <v>4</v>
      </c>
      <c r="T177" t="s">
        <v>4</v>
      </c>
    </row>
    <row r="178" spans="1:20" x14ac:dyDescent="0.3">
      <c r="A178" t="s">
        <v>538</v>
      </c>
      <c r="B178" t="s">
        <v>120</v>
      </c>
      <c r="C178" t="s">
        <v>539</v>
      </c>
      <c r="D178" t="s">
        <v>539</v>
      </c>
      <c r="E178">
        <v>66</v>
      </c>
      <c r="F178">
        <v>238493</v>
      </c>
      <c r="G178" t="b">
        <v>0</v>
      </c>
      <c r="H178">
        <v>0.54400000000000004</v>
      </c>
      <c r="I178">
        <v>0.5</v>
      </c>
      <c r="J178">
        <v>11</v>
      </c>
      <c r="K178">
        <v>-8.2530000000000001</v>
      </c>
      <c r="L178">
        <v>1</v>
      </c>
      <c r="M178">
        <v>2.5999999999999999E-2</v>
      </c>
      <c r="N178">
        <v>3.2500000000000001E-2</v>
      </c>
      <c r="O178" s="9" t="s">
        <v>540</v>
      </c>
      <c r="P178">
        <v>0.109</v>
      </c>
      <c r="Q178">
        <v>0.17699999999999999</v>
      </c>
      <c r="R178">
        <v>93.620999999999995</v>
      </c>
      <c r="S178">
        <v>4</v>
      </c>
      <c r="T178" t="s">
        <v>4</v>
      </c>
    </row>
    <row r="179" spans="1:20" x14ac:dyDescent="0.3">
      <c r="A179" t="s">
        <v>541</v>
      </c>
      <c r="B179" t="s">
        <v>388</v>
      </c>
      <c r="C179" t="s">
        <v>542</v>
      </c>
      <c r="D179" t="s">
        <v>542</v>
      </c>
      <c r="E179">
        <v>54</v>
      </c>
      <c r="F179">
        <v>215906</v>
      </c>
      <c r="G179" t="b">
        <v>0</v>
      </c>
      <c r="H179">
        <v>0.66200000000000003</v>
      </c>
      <c r="I179">
        <v>0.187</v>
      </c>
      <c r="J179">
        <v>2</v>
      </c>
      <c r="K179">
        <v>-9.0030000000000001</v>
      </c>
      <c r="L179">
        <v>1</v>
      </c>
      <c r="M179">
        <v>2.6800000000000001E-2</v>
      </c>
      <c r="N179">
        <v>0.96899999999999997</v>
      </c>
      <c r="O179">
        <v>2.7300000000000002E-4</v>
      </c>
      <c r="P179">
        <v>9.2200000000000004E-2</v>
      </c>
      <c r="Q179">
        <v>0.23300000000000001</v>
      </c>
      <c r="R179">
        <v>104.988</v>
      </c>
      <c r="S179">
        <v>4</v>
      </c>
      <c r="T179" t="s">
        <v>4</v>
      </c>
    </row>
    <row r="180" spans="1:20" x14ac:dyDescent="0.3">
      <c r="A180" t="s">
        <v>543</v>
      </c>
      <c r="B180" t="s">
        <v>14</v>
      </c>
      <c r="C180" t="s">
        <v>544</v>
      </c>
      <c r="D180" t="s">
        <v>544</v>
      </c>
      <c r="E180">
        <v>62</v>
      </c>
      <c r="F180">
        <v>181136</v>
      </c>
      <c r="G180" t="b">
        <v>0</v>
      </c>
      <c r="H180">
        <v>0.497</v>
      </c>
      <c r="I180">
        <v>0.13</v>
      </c>
      <c r="J180">
        <v>6</v>
      </c>
      <c r="K180">
        <v>-15.571</v>
      </c>
      <c r="L180">
        <v>1</v>
      </c>
      <c r="M180">
        <v>4.36E-2</v>
      </c>
      <c r="N180">
        <v>0.84099999999999997</v>
      </c>
      <c r="O180">
        <v>0</v>
      </c>
      <c r="P180">
        <v>0.111</v>
      </c>
      <c r="Q180">
        <v>0.17899999999999999</v>
      </c>
      <c r="R180">
        <v>130.76900000000001</v>
      </c>
      <c r="S180">
        <v>3</v>
      </c>
      <c r="T180" t="s">
        <v>4</v>
      </c>
    </row>
    <row r="181" spans="1:20" x14ac:dyDescent="0.3">
      <c r="A181" t="s">
        <v>545</v>
      </c>
      <c r="B181" t="s">
        <v>497</v>
      </c>
      <c r="C181" t="s">
        <v>546</v>
      </c>
      <c r="D181" t="s">
        <v>547</v>
      </c>
      <c r="E181">
        <v>57</v>
      </c>
      <c r="F181">
        <v>157466</v>
      </c>
      <c r="G181" t="b">
        <v>0</v>
      </c>
      <c r="H181">
        <v>0.52800000000000002</v>
      </c>
      <c r="I181">
        <v>0.29099999999999998</v>
      </c>
      <c r="J181">
        <v>10</v>
      </c>
      <c r="K181">
        <v>-9.6959999999999997</v>
      </c>
      <c r="L181">
        <v>1</v>
      </c>
      <c r="M181">
        <v>4.0099999999999997E-2</v>
      </c>
      <c r="N181">
        <v>0.91400000000000003</v>
      </c>
      <c r="O181">
        <v>0</v>
      </c>
      <c r="P181">
        <v>0.121</v>
      </c>
      <c r="Q181">
        <v>0.35499999999999998</v>
      </c>
      <c r="R181">
        <v>76.805000000000007</v>
      </c>
      <c r="S181">
        <v>4</v>
      </c>
      <c r="T181" t="s">
        <v>4</v>
      </c>
    </row>
    <row r="182" spans="1:20" x14ac:dyDescent="0.3">
      <c r="A182" t="s">
        <v>548</v>
      </c>
      <c r="B182" t="s">
        <v>549</v>
      </c>
      <c r="C182" t="s">
        <v>550</v>
      </c>
      <c r="D182" t="s">
        <v>550</v>
      </c>
      <c r="E182">
        <v>68</v>
      </c>
      <c r="F182">
        <v>233728</v>
      </c>
      <c r="G182" t="b">
        <v>0</v>
      </c>
      <c r="H182">
        <v>0.46100000000000002</v>
      </c>
      <c r="I182">
        <v>0.52200000000000002</v>
      </c>
      <c r="J182">
        <v>11</v>
      </c>
      <c r="K182">
        <v>-7.5129999999999999</v>
      </c>
      <c r="L182">
        <v>1</v>
      </c>
      <c r="M182">
        <v>4.2999999999999997E-2</v>
      </c>
      <c r="N182">
        <v>0.36</v>
      </c>
      <c r="O182">
        <v>0</v>
      </c>
      <c r="P182">
        <v>0.123</v>
      </c>
      <c r="Q182">
        <v>0.44600000000000001</v>
      </c>
      <c r="R182">
        <v>157.768</v>
      </c>
      <c r="S182">
        <v>4</v>
      </c>
      <c r="T182" t="s">
        <v>4</v>
      </c>
    </row>
    <row r="183" spans="1:20" x14ac:dyDescent="0.3">
      <c r="A183" t="s">
        <v>551</v>
      </c>
      <c r="B183" t="s">
        <v>319</v>
      </c>
      <c r="C183" t="s">
        <v>72</v>
      </c>
      <c r="D183" t="s">
        <v>552</v>
      </c>
      <c r="E183">
        <v>62</v>
      </c>
      <c r="F183">
        <v>216612</v>
      </c>
      <c r="G183" t="b">
        <v>0</v>
      </c>
      <c r="H183">
        <v>0.48299999999999998</v>
      </c>
      <c r="I183">
        <v>0.50600000000000001</v>
      </c>
      <c r="J183">
        <v>9</v>
      </c>
      <c r="K183">
        <v>-6.0579999999999998</v>
      </c>
      <c r="L183">
        <v>1</v>
      </c>
      <c r="M183">
        <v>3.4700000000000002E-2</v>
      </c>
      <c r="N183">
        <v>0.39400000000000002</v>
      </c>
      <c r="O183">
        <v>0</v>
      </c>
      <c r="P183">
        <v>9.4600000000000004E-2</v>
      </c>
      <c r="Q183">
        <v>0.70499999999999996</v>
      </c>
      <c r="R183">
        <v>87.337000000000003</v>
      </c>
      <c r="S183">
        <v>4</v>
      </c>
      <c r="T183" t="s">
        <v>4</v>
      </c>
    </row>
    <row r="184" spans="1:20" x14ac:dyDescent="0.3">
      <c r="A184" t="s">
        <v>553</v>
      </c>
      <c r="B184" t="s">
        <v>30</v>
      </c>
      <c r="C184" t="s">
        <v>255</v>
      </c>
      <c r="D184" t="s">
        <v>554</v>
      </c>
      <c r="E184">
        <v>53</v>
      </c>
      <c r="F184">
        <v>245186</v>
      </c>
      <c r="G184" t="b">
        <v>0</v>
      </c>
      <c r="H184">
        <v>0.39200000000000002</v>
      </c>
      <c r="I184">
        <v>0.42299999999999999</v>
      </c>
      <c r="J184">
        <v>7</v>
      </c>
      <c r="K184">
        <v>-7.8129999999999997</v>
      </c>
      <c r="L184">
        <v>1</v>
      </c>
      <c r="M184">
        <v>3.4799999999999998E-2</v>
      </c>
      <c r="N184">
        <v>0.27</v>
      </c>
      <c r="O184">
        <v>0</v>
      </c>
      <c r="P184">
        <v>0.11700000000000001</v>
      </c>
      <c r="Q184">
        <v>0.28799999999999998</v>
      </c>
      <c r="R184">
        <v>113.53700000000001</v>
      </c>
      <c r="S184">
        <v>4</v>
      </c>
      <c r="T184" t="s">
        <v>4</v>
      </c>
    </row>
    <row r="185" spans="1:20" x14ac:dyDescent="0.3">
      <c r="A185" t="s">
        <v>555</v>
      </c>
      <c r="B185" t="s">
        <v>406</v>
      </c>
      <c r="C185" t="s">
        <v>407</v>
      </c>
      <c r="D185" t="s">
        <v>556</v>
      </c>
      <c r="E185">
        <v>44</v>
      </c>
      <c r="F185">
        <v>219613</v>
      </c>
      <c r="G185" t="b">
        <v>0</v>
      </c>
      <c r="H185">
        <v>0.42</v>
      </c>
      <c r="I185">
        <v>0.2</v>
      </c>
      <c r="J185">
        <v>7</v>
      </c>
      <c r="K185">
        <v>-18.827000000000002</v>
      </c>
      <c r="L185">
        <v>1</v>
      </c>
      <c r="M185">
        <v>4.9200000000000001E-2</v>
      </c>
      <c r="N185">
        <v>0.92900000000000005</v>
      </c>
      <c r="O185">
        <v>0.49</v>
      </c>
      <c r="P185">
        <v>7.5800000000000006E-2</v>
      </c>
      <c r="Q185">
        <v>0.16400000000000001</v>
      </c>
      <c r="R185">
        <v>87.248000000000005</v>
      </c>
      <c r="S185">
        <v>4</v>
      </c>
      <c r="T185" t="s">
        <v>4</v>
      </c>
    </row>
    <row r="186" spans="1:20" x14ac:dyDescent="0.3">
      <c r="A186" t="s">
        <v>557</v>
      </c>
      <c r="B186" t="s">
        <v>411</v>
      </c>
      <c r="C186" t="s">
        <v>412</v>
      </c>
      <c r="D186" t="s">
        <v>558</v>
      </c>
      <c r="E186">
        <v>57</v>
      </c>
      <c r="F186">
        <v>248960</v>
      </c>
      <c r="G186" t="b">
        <v>0</v>
      </c>
      <c r="H186">
        <v>0.65700000000000003</v>
      </c>
      <c r="I186">
        <v>0.71599999999999997</v>
      </c>
      <c r="J186">
        <v>2</v>
      </c>
      <c r="K186">
        <v>-5.6749999999999998</v>
      </c>
      <c r="L186">
        <v>1</v>
      </c>
      <c r="M186">
        <v>3.0099999999999998E-2</v>
      </c>
      <c r="N186">
        <v>1.4E-2</v>
      </c>
      <c r="O186">
        <v>0</v>
      </c>
      <c r="P186">
        <v>4.8300000000000003E-2</v>
      </c>
      <c r="Q186">
        <v>0.435</v>
      </c>
      <c r="R186">
        <v>93.924000000000007</v>
      </c>
      <c r="S186">
        <v>4</v>
      </c>
      <c r="T186" t="s">
        <v>4</v>
      </c>
    </row>
    <row r="187" spans="1:20" x14ac:dyDescent="0.3">
      <c r="A187" t="s">
        <v>559</v>
      </c>
      <c r="B187" t="s">
        <v>560</v>
      </c>
      <c r="C187" t="s">
        <v>561</v>
      </c>
      <c r="D187" t="s">
        <v>562</v>
      </c>
      <c r="E187">
        <v>52</v>
      </c>
      <c r="F187">
        <v>252466</v>
      </c>
      <c r="G187" t="b">
        <v>0</v>
      </c>
      <c r="H187">
        <v>0.495</v>
      </c>
      <c r="I187">
        <v>0.185</v>
      </c>
      <c r="J187">
        <v>9</v>
      </c>
      <c r="K187">
        <v>-13.824</v>
      </c>
      <c r="L187">
        <v>1</v>
      </c>
      <c r="M187">
        <v>2.8799999999999999E-2</v>
      </c>
      <c r="N187">
        <v>0.69199999999999995</v>
      </c>
      <c r="O187">
        <v>4.0299999999999997E-3</v>
      </c>
      <c r="P187">
        <v>0.109</v>
      </c>
      <c r="Q187">
        <v>0.19600000000000001</v>
      </c>
      <c r="R187">
        <v>101.89</v>
      </c>
      <c r="S187">
        <v>4</v>
      </c>
      <c r="T187" t="s">
        <v>4</v>
      </c>
    </row>
    <row r="188" spans="1:20" x14ac:dyDescent="0.3">
      <c r="A188" t="s">
        <v>563</v>
      </c>
      <c r="B188" t="s">
        <v>19</v>
      </c>
      <c r="C188" t="s">
        <v>564</v>
      </c>
      <c r="D188" t="s">
        <v>565</v>
      </c>
      <c r="E188">
        <v>53</v>
      </c>
      <c r="F188">
        <v>246613</v>
      </c>
      <c r="G188" t="b">
        <v>0</v>
      </c>
      <c r="H188">
        <v>0.55000000000000004</v>
      </c>
      <c r="I188">
        <v>0.499</v>
      </c>
      <c r="J188">
        <v>4</v>
      </c>
      <c r="K188">
        <v>-9.5020000000000007</v>
      </c>
      <c r="L188">
        <v>1</v>
      </c>
      <c r="M188">
        <v>3.3799999999999997E-2</v>
      </c>
      <c r="N188">
        <v>0.47199999999999998</v>
      </c>
      <c r="O188" s="9" t="s">
        <v>566</v>
      </c>
      <c r="P188">
        <v>7.9799999999999996E-2</v>
      </c>
      <c r="Q188">
        <v>0.14399999999999999</v>
      </c>
      <c r="R188">
        <v>86.965999999999994</v>
      </c>
      <c r="S188">
        <v>1</v>
      </c>
      <c r="T188" t="s">
        <v>4</v>
      </c>
    </row>
    <row r="189" spans="1:20" x14ac:dyDescent="0.3">
      <c r="A189" t="s">
        <v>567</v>
      </c>
      <c r="B189" t="s">
        <v>388</v>
      </c>
      <c r="C189" t="s">
        <v>568</v>
      </c>
      <c r="D189" t="s">
        <v>568</v>
      </c>
      <c r="E189">
        <v>53</v>
      </c>
      <c r="F189">
        <v>198786</v>
      </c>
      <c r="G189" t="b">
        <v>0</v>
      </c>
      <c r="H189">
        <v>0.53400000000000003</v>
      </c>
      <c r="I189">
        <v>0.35899999999999999</v>
      </c>
      <c r="J189">
        <v>0</v>
      </c>
      <c r="K189">
        <v>-9.3109999999999999</v>
      </c>
      <c r="L189">
        <v>1</v>
      </c>
      <c r="M189">
        <v>2.9600000000000001E-2</v>
      </c>
      <c r="N189">
        <v>0.44900000000000001</v>
      </c>
      <c r="O189" s="9" t="s">
        <v>569</v>
      </c>
      <c r="P189">
        <v>0.33100000000000002</v>
      </c>
      <c r="Q189">
        <v>0.26700000000000002</v>
      </c>
      <c r="R189">
        <v>131.804</v>
      </c>
      <c r="S189">
        <v>4</v>
      </c>
      <c r="T189" t="s">
        <v>4</v>
      </c>
    </row>
    <row r="190" spans="1:20" x14ac:dyDescent="0.3">
      <c r="A190" t="s">
        <v>570</v>
      </c>
      <c r="B190" t="s">
        <v>571</v>
      </c>
      <c r="C190" t="s">
        <v>572</v>
      </c>
      <c r="D190" t="s">
        <v>573</v>
      </c>
      <c r="E190">
        <v>55</v>
      </c>
      <c r="F190">
        <v>226640</v>
      </c>
      <c r="G190" t="b">
        <v>0</v>
      </c>
      <c r="H190">
        <v>0.378</v>
      </c>
      <c r="I190">
        <v>0.52</v>
      </c>
      <c r="J190">
        <v>11</v>
      </c>
      <c r="K190">
        <v>-10.965</v>
      </c>
      <c r="L190">
        <v>1</v>
      </c>
      <c r="M190">
        <v>3.8199999999999998E-2</v>
      </c>
      <c r="N190">
        <v>0.77700000000000002</v>
      </c>
      <c r="O190">
        <v>8.8800000000000004E-2</v>
      </c>
      <c r="P190">
        <v>9.7900000000000001E-2</v>
      </c>
      <c r="Q190">
        <v>0.35699999999999998</v>
      </c>
      <c r="R190">
        <v>73.744</v>
      </c>
      <c r="S190">
        <v>4</v>
      </c>
      <c r="T190" t="s">
        <v>4</v>
      </c>
    </row>
    <row r="191" spans="1:20" x14ac:dyDescent="0.3">
      <c r="A191" t="s">
        <v>574</v>
      </c>
      <c r="B191" t="s">
        <v>575</v>
      </c>
      <c r="C191" t="s">
        <v>576</v>
      </c>
      <c r="D191" t="s">
        <v>577</v>
      </c>
      <c r="E191">
        <v>66</v>
      </c>
      <c r="F191">
        <v>203869</v>
      </c>
      <c r="G191" t="b">
        <v>0</v>
      </c>
      <c r="H191">
        <v>0.60599999999999998</v>
      </c>
      <c r="I191">
        <v>0.34899999999999998</v>
      </c>
      <c r="J191">
        <v>4</v>
      </c>
      <c r="K191">
        <v>-13.967000000000001</v>
      </c>
      <c r="L191">
        <v>1</v>
      </c>
      <c r="M191">
        <v>3.1899999999999998E-2</v>
      </c>
      <c r="N191">
        <v>0.76400000000000001</v>
      </c>
      <c r="O191">
        <v>0.30599999999999999</v>
      </c>
      <c r="P191">
        <v>0.112</v>
      </c>
      <c r="Q191">
        <v>0.156</v>
      </c>
      <c r="R191">
        <v>80.070999999999998</v>
      </c>
      <c r="S191">
        <v>4</v>
      </c>
      <c r="T191" t="s">
        <v>4</v>
      </c>
    </row>
    <row r="192" spans="1:20" x14ac:dyDescent="0.3">
      <c r="A192" t="s">
        <v>578</v>
      </c>
      <c r="B192" t="s">
        <v>37</v>
      </c>
      <c r="C192" t="s">
        <v>579</v>
      </c>
      <c r="D192" t="s">
        <v>580</v>
      </c>
      <c r="E192">
        <v>49</v>
      </c>
      <c r="F192">
        <v>317441</v>
      </c>
      <c r="G192" t="b">
        <v>0</v>
      </c>
      <c r="H192">
        <v>0.48599999999999999</v>
      </c>
      <c r="I192">
        <v>0.55500000000000005</v>
      </c>
      <c r="J192">
        <v>2</v>
      </c>
      <c r="K192">
        <v>-9.4659999999999993</v>
      </c>
      <c r="L192">
        <v>1</v>
      </c>
      <c r="M192">
        <v>2.7099999999999999E-2</v>
      </c>
      <c r="N192">
        <v>0.81799999999999995</v>
      </c>
      <c r="O192">
        <v>2.6900000000000001E-3</v>
      </c>
      <c r="P192">
        <v>0.109</v>
      </c>
      <c r="Q192">
        <v>9.9199999999999997E-2</v>
      </c>
      <c r="R192">
        <v>77.986999999999995</v>
      </c>
      <c r="S192">
        <v>4</v>
      </c>
      <c r="T192" t="s">
        <v>4</v>
      </c>
    </row>
    <row r="193" spans="1:20" x14ac:dyDescent="0.3">
      <c r="A193" t="s">
        <v>581</v>
      </c>
      <c r="B193" t="s">
        <v>380</v>
      </c>
      <c r="C193" t="s">
        <v>582</v>
      </c>
      <c r="D193" t="s">
        <v>583</v>
      </c>
      <c r="E193">
        <v>60</v>
      </c>
      <c r="F193">
        <v>261640</v>
      </c>
      <c r="G193" t="b">
        <v>0</v>
      </c>
      <c r="H193">
        <v>0.57699999999999996</v>
      </c>
      <c r="I193">
        <v>0.44600000000000001</v>
      </c>
      <c r="J193">
        <v>6</v>
      </c>
      <c r="K193">
        <v>-11.343</v>
      </c>
      <c r="L193">
        <v>1</v>
      </c>
      <c r="M193">
        <v>3.1300000000000001E-2</v>
      </c>
      <c r="N193">
        <v>0.55400000000000005</v>
      </c>
      <c r="O193">
        <v>7.8200000000000006E-2</v>
      </c>
      <c r="P193">
        <v>0.11600000000000001</v>
      </c>
      <c r="Q193">
        <v>0.26200000000000001</v>
      </c>
      <c r="R193">
        <v>81.004999999999995</v>
      </c>
      <c r="S193">
        <v>4</v>
      </c>
      <c r="T193" t="s">
        <v>4</v>
      </c>
    </row>
    <row r="194" spans="1:20" x14ac:dyDescent="0.3">
      <c r="A194" t="s">
        <v>584</v>
      </c>
      <c r="B194" t="s">
        <v>585</v>
      </c>
      <c r="C194" t="s">
        <v>586</v>
      </c>
      <c r="D194" t="s">
        <v>586</v>
      </c>
      <c r="E194">
        <v>38</v>
      </c>
      <c r="F194">
        <v>211933</v>
      </c>
      <c r="G194" t="b">
        <v>0</v>
      </c>
      <c r="H194">
        <v>0.59</v>
      </c>
      <c r="I194">
        <v>0.40699999999999997</v>
      </c>
      <c r="J194">
        <v>4</v>
      </c>
      <c r="K194">
        <v>-9.0790000000000006</v>
      </c>
      <c r="L194">
        <v>1</v>
      </c>
      <c r="M194">
        <v>3.61E-2</v>
      </c>
      <c r="N194">
        <v>0.86099999999999999</v>
      </c>
      <c r="O194" s="9" t="s">
        <v>587</v>
      </c>
      <c r="P194">
        <v>9.4E-2</v>
      </c>
      <c r="Q194">
        <v>0.27600000000000002</v>
      </c>
      <c r="R194">
        <v>145.852</v>
      </c>
      <c r="S194">
        <v>4</v>
      </c>
      <c r="T194" t="s">
        <v>4</v>
      </c>
    </row>
    <row r="195" spans="1:20" x14ac:dyDescent="0.3">
      <c r="A195" t="s">
        <v>588</v>
      </c>
      <c r="B195" t="s">
        <v>589</v>
      </c>
      <c r="C195" t="s">
        <v>590</v>
      </c>
      <c r="D195" t="s">
        <v>591</v>
      </c>
      <c r="E195">
        <v>67</v>
      </c>
      <c r="F195">
        <v>218800</v>
      </c>
      <c r="G195" t="b">
        <v>0</v>
      </c>
      <c r="H195">
        <v>0.53800000000000003</v>
      </c>
      <c r="I195">
        <v>0.315</v>
      </c>
      <c r="J195">
        <v>0</v>
      </c>
      <c r="K195">
        <v>-10.057</v>
      </c>
      <c r="L195">
        <v>1</v>
      </c>
      <c r="M195">
        <v>2.9100000000000001E-2</v>
      </c>
      <c r="N195">
        <v>0.96</v>
      </c>
      <c r="O195">
        <v>5.96E-3</v>
      </c>
      <c r="P195">
        <v>9.7900000000000001E-2</v>
      </c>
      <c r="Q195">
        <v>0.4</v>
      </c>
      <c r="R195">
        <v>91.921000000000006</v>
      </c>
      <c r="S195">
        <v>3</v>
      </c>
      <c r="T195" t="s">
        <v>4</v>
      </c>
    </row>
    <row r="196" spans="1:20" x14ac:dyDescent="0.3">
      <c r="A196" t="s">
        <v>592</v>
      </c>
      <c r="B196" t="s">
        <v>243</v>
      </c>
      <c r="C196" t="s">
        <v>80</v>
      </c>
      <c r="D196" t="s">
        <v>27</v>
      </c>
      <c r="E196">
        <v>57</v>
      </c>
      <c r="F196">
        <v>233266</v>
      </c>
      <c r="G196" t="b">
        <v>0</v>
      </c>
      <c r="H196">
        <v>0.44700000000000001</v>
      </c>
      <c r="I196">
        <v>0.158</v>
      </c>
      <c r="J196">
        <v>2</v>
      </c>
      <c r="K196">
        <v>-7.5709999999999997</v>
      </c>
      <c r="L196">
        <v>1</v>
      </c>
      <c r="M196">
        <v>3.5999999999999997E-2</v>
      </c>
      <c r="N196">
        <v>0.872</v>
      </c>
      <c r="O196" s="9" t="s">
        <v>593</v>
      </c>
      <c r="P196">
        <v>8.1600000000000006E-2</v>
      </c>
      <c r="Q196">
        <v>0.14199999999999999</v>
      </c>
      <c r="R196">
        <v>140.94200000000001</v>
      </c>
      <c r="S196">
        <v>3</v>
      </c>
      <c r="T196" t="s">
        <v>4</v>
      </c>
    </row>
    <row r="197" spans="1:20" x14ac:dyDescent="0.3">
      <c r="A197" t="s">
        <v>594</v>
      </c>
      <c r="B197" t="s">
        <v>129</v>
      </c>
      <c r="C197" t="s">
        <v>265</v>
      </c>
      <c r="D197" t="s">
        <v>595</v>
      </c>
      <c r="E197">
        <v>60</v>
      </c>
      <c r="F197">
        <v>156453</v>
      </c>
      <c r="G197" t="b">
        <v>0</v>
      </c>
      <c r="H197">
        <v>0.40100000000000002</v>
      </c>
      <c r="I197">
        <v>0.57999999999999996</v>
      </c>
      <c r="J197">
        <v>7</v>
      </c>
      <c r="K197">
        <v>-6.86</v>
      </c>
      <c r="L197">
        <v>1</v>
      </c>
      <c r="M197">
        <v>5.4100000000000002E-2</v>
      </c>
      <c r="N197">
        <v>0.90600000000000003</v>
      </c>
      <c r="O197">
        <v>0.217</v>
      </c>
      <c r="P197">
        <v>0.13400000000000001</v>
      </c>
      <c r="Q197">
        <v>0.52600000000000002</v>
      </c>
      <c r="R197">
        <v>173.27699999999999</v>
      </c>
      <c r="S197">
        <v>3</v>
      </c>
      <c r="T197" t="s">
        <v>4</v>
      </c>
    </row>
    <row r="198" spans="1:20" x14ac:dyDescent="0.3">
      <c r="A198" t="s">
        <v>596</v>
      </c>
      <c r="B198" t="s">
        <v>597</v>
      </c>
      <c r="C198" t="s">
        <v>598</v>
      </c>
      <c r="D198" t="s">
        <v>599</v>
      </c>
      <c r="E198">
        <v>64</v>
      </c>
      <c r="F198">
        <v>165133</v>
      </c>
      <c r="G198" t="b">
        <v>0</v>
      </c>
      <c r="H198">
        <v>0.502</v>
      </c>
      <c r="I198">
        <v>0.311</v>
      </c>
      <c r="J198">
        <v>1</v>
      </c>
      <c r="K198">
        <v>-13.420999999999999</v>
      </c>
      <c r="L198">
        <v>1</v>
      </c>
      <c r="M198">
        <v>2.8500000000000001E-2</v>
      </c>
      <c r="N198">
        <v>0.61699999999999999</v>
      </c>
      <c r="O198" s="9" t="s">
        <v>600</v>
      </c>
      <c r="P198">
        <v>0.129</v>
      </c>
      <c r="Q198">
        <v>0.4</v>
      </c>
      <c r="R198">
        <v>107.61199999999999</v>
      </c>
      <c r="S198">
        <v>4</v>
      </c>
      <c r="T198" t="s">
        <v>4</v>
      </c>
    </row>
    <row r="199" spans="1:20" x14ac:dyDescent="0.3">
      <c r="A199" t="s">
        <v>601</v>
      </c>
      <c r="B199" t="s">
        <v>602</v>
      </c>
      <c r="C199" t="s">
        <v>603</v>
      </c>
      <c r="D199" t="s">
        <v>604</v>
      </c>
      <c r="E199">
        <v>0</v>
      </c>
      <c r="F199">
        <v>216626</v>
      </c>
      <c r="G199" t="b">
        <v>0</v>
      </c>
      <c r="H199">
        <v>0.67800000000000005</v>
      </c>
      <c r="I199">
        <v>0.61199999999999999</v>
      </c>
      <c r="J199">
        <v>4</v>
      </c>
      <c r="K199">
        <v>-9.7639999999999993</v>
      </c>
      <c r="L199">
        <v>1</v>
      </c>
      <c r="M199">
        <v>3.39E-2</v>
      </c>
      <c r="N199">
        <v>0.1</v>
      </c>
      <c r="O199">
        <v>0.316</v>
      </c>
      <c r="P199">
        <v>0.16400000000000001</v>
      </c>
      <c r="Q199">
        <v>0.85699999999999998</v>
      </c>
      <c r="R199">
        <v>118.381</v>
      </c>
      <c r="S199">
        <v>4</v>
      </c>
      <c r="T199" t="s">
        <v>4</v>
      </c>
    </row>
    <row r="200" spans="1:20" x14ac:dyDescent="0.3">
      <c r="A200" t="s">
        <v>605</v>
      </c>
      <c r="B200" t="s">
        <v>606</v>
      </c>
      <c r="C200" t="s">
        <v>607</v>
      </c>
      <c r="D200" t="s">
        <v>608</v>
      </c>
      <c r="E200">
        <v>0</v>
      </c>
      <c r="F200">
        <v>251426</v>
      </c>
      <c r="G200" t="b">
        <v>0</v>
      </c>
      <c r="H200">
        <v>0.65</v>
      </c>
      <c r="I200">
        <v>0.40600000000000003</v>
      </c>
      <c r="J200">
        <v>7</v>
      </c>
      <c r="K200">
        <v>-13.492000000000001</v>
      </c>
      <c r="L200">
        <v>1</v>
      </c>
      <c r="M200">
        <v>7.6100000000000001E-2</v>
      </c>
      <c r="N200">
        <v>0.56799999999999995</v>
      </c>
      <c r="O200">
        <v>0</v>
      </c>
      <c r="P200">
        <v>0.48399999999999999</v>
      </c>
      <c r="Q200">
        <v>0.86199999999999999</v>
      </c>
      <c r="R200">
        <v>79.641999999999996</v>
      </c>
      <c r="S200">
        <v>4</v>
      </c>
      <c r="T200" t="s">
        <v>4</v>
      </c>
    </row>
    <row r="201" spans="1:20" x14ac:dyDescent="0.3">
      <c r="A201" t="s">
        <v>609</v>
      </c>
      <c r="B201" t="s">
        <v>610</v>
      </c>
      <c r="C201" t="s">
        <v>611</v>
      </c>
      <c r="D201" t="s">
        <v>612</v>
      </c>
      <c r="E201">
        <v>0</v>
      </c>
      <c r="F201">
        <v>209293</v>
      </c>
      <c r="G201" t="b">
        <v>0</v>
      </c>
      <c r="H201">
        <v>0.64900000000000002</v>
      </c>
      <c r="I201">
        <v>0.39900000000000002</v>
      </c>
      <c r="J201">
        <v>6</v>
      </c>
      <c r="K201">
        <v>-7.8940000000000001</v>
      </c>
      <c r="L201">
        <v>1</v>
      </c>
      <c r="M201">
        <v>2.5600000000000001E-2</v>
      </c>
      <c r="N201">
        <v>0.184</v>
      </c>
      <c r="O201">
        <v>1.08E-4</v>
      </c>
      <c r="P201">
        <v>0.113</v>
      </c>
      <c r="Q201">
        <v>0.34200000000000003</v>
      </c>
      <c r="R201">
        <v>97.498000000000005</v>
      </c>
      <c r="S201">
        <v>3</v>
      </c>
      <c r="T201" t="s">
        <v>4</v>
      </c>
    </row>
    <row r="202" spans="1:20" x14ac:dyDescent="0.3">
      <c r="A202" t="s">
        <v>613</v>
      </c>
      <c r="B202" t="s">
        <v>160</v>
      </c>
      <c r="C202" t="s">
        <v>614</v>
      </c>
      <c r="D202" t="s">
        <v>615</v>
      </c>
      <c r="E202">
        <v>61</v>
      </c>
      <c r="F202">
        <v>308146</v>
      </c>
      <c r="G202" t="b">
        <v>0</v>
      </c>
      <c r="H202">
        <v>0.52300000000000002</v>
      </c>
      <c r="I202">
        <v>0.44500000000000001</v>
      </c>
      <c r="J202">
        <v>10</v>
      </c>
      <c r="K202">
        <v>-6.359</v>
      </c>
      <c r="L202">
        <v>1</v>
      </c>
      <c r="M202">
        <v>3.2899999999999999E-2</v>
      </c>
      <c r="N202">
        <v>0.188</v>
      </c>
      <c r="O202">
        <v>0</v>
      </c>
      <c r="P202">
        <v>0.18</v>
      </c>
      <c r="Q202">
        <v>0.33600000000000002</v>
      </c>
      <c r="R202">
        <v>78.956999999999994</v>
      </c>
      <c r="S202">
        <v>4</v>
      </c>
      <c r="T202" t="s">
        <v>4</v>
      </c>
    </row>
    <row r="203" spans="1:20" x14ac:dyDescent="0.3">
      <c r="A203" t="s">
        <v>616</v>
      </c>
      <c r="B203" t="s">
        <v>617</v>
      </c>
      <c r="C203" t="s">
        <v>618</v>
      </c>
      <c r="D203" t="s">
        <v>619</v>
      </c>
      <c r="E203">
        <v>50</v>
      </c>
      <c r="F203">
        <v>221170</v>
      </c>
      <c r="G203" t="b">
        <v>0</v>
      </c>
      <c r="H203">
        <v>0.53800000000000003</v>
      </c>
      <c r="I203">
        <v>0.16200000000000001</v>
      </c>
      <c r="J203">
        <v>5</v>
      </c>
      <c r="K203">
        <v>-13.31</v>
      </c>
      <c r="L203">
        <v>1</v>
      </c>
      <c r="M203">
        <v>2.9899999999999999E-2</v>
      </c>
      <c r="N203">
        <v>0.84699999999999998</v>
      </c>
      <c r="O203">
        <v>0</v>
      </c>
      <c r="P203">
        <v>0.114</v>
      </c>
      <c r="Q203">
        <v>0.36599999999999999</v>
      </c>
      <c r="R203">
        <v>94.980999999999995</v>
      </c>
      <c r="S203">
        <v>4</v>
      </c>
      <c r="T203" t="s">
        <v>4</v>
      </c>
    </row>
    <row r="204" spans="1:20" x14ac:dyDescent="0.3">
      <c r="A204" t="s">
        <v>620</v>
      </c>
      <c r="B204" t="s">
        <v>621</v>
      </c>
      <c r="C204" t="s">
        <v>622</v>
      </c>
      <c r="D204" t="s">
        <v>622</v>
      </c>
      <c r="E204">
        <v>47</v>
      </c>
      <c r="F204">
        <v>330786</v>
      </c>
      <c r="G204" t="b">
        <v>0</v>
      </c>
      <c r="H204">
        <v>0.51900000000000002</v>
      </c>
      <c r="I204">
        <v>0.42899999999999999</v>
      </c>
      <c r="J204">
        <v>11</v>
      </c>
      <c r="K204">
        <v>-7.7069999999999999</v>
      </c>
      <c r="L204">
        <v>0</v>
      </c>
      <c r="M204">
        <v>3.1699999999999999E-2</v>
      </c>
      <c r="N204">
        <v>0.65800000000000003</v>
      </c>
      <c r="O204">
        <v>0</v>
      </c>
      <c r="P204">
        <v>0.111</v>
      </c>
      <c r="Q204">
        <v>0.39600000000000002</v>
      </c>
      <c r="R204">
        <v>129.49100000000001</v>
      </c>
      <c r="S204">
        <v>4</v>
      </c>
      <c r="T204" t="s">
        <v>4</v>
      </c>
    </row>
    <row r="205" spans="1:20" x14ac:dyDescent="0.3">
      <c r="A205" t="s">
        <v>623</v>
      </c>
      <c r="B205" t="s">
        <v>14</v>
      </c>
      <c r="C205" t="s">
        <v>624</v>
      </c>
      <c r="D205" t="s">
        <v>624</v>
      </c>
      <c r="E205">
        <v>58</v>
      </c>
      <c r="F205">
        <v>234135</v>
      </c>
      <c r="G205" t="b">
        <v>0</v>
      </c>
      <c r="H205">
        <v>0.58499999999999996</v>
      </c>
      <c r="I205">
        <v>0.10299999999999999</v>
      </c>
      <c r="J205">
        <v>7</v>
      </c>
      <c r="K205">
        <v>-12.682</v>
      </c>
      <c r="L205">
        <v>1</v>
      </c>
      <c r="M205">
        <v>3.09E-2</v>
      </c>
      <c r="N205">
        <v>0.80100000000000005</v>
      </c>
      <c r="O205">
        <v>0</v>
      </c>
      <c r="P205">
        <v>0.126</v>
      </c>
      <c r="Q205">
        <v>0.17899999999999999</v>
      </c>
      <c r="R205">
        <v>133.05699999999999</v>
      </c>
      <c r="S205">
        <v>4</v>
      </c>
      <c r="T205" t="s">
        <v>4</v>
      </c>
    </row>
    <row r="206" spans="1:20" x14ac:dyDescent="0.3">
      <c r="A206" t="s">
        <v>625</v>
      </c>
      <c r="B206" t="s">
        <v>626</v>
      </c>
      <c r="C206" t="s">
        <v>627</v>
      </c>
      <c r="D206" t="s">
        <v>627</v>
      </c>
      <c r="E206">
        <v>30</v>
      </c>
      <c r="F206">
        <v>173250</v>
      </c>
      <c r="G206" t="b">
        <v>0</v>
      </c>
      <c r="H206">
        <v>0.57799999999999996</v>
      </c>
      <c r="I206">
        <v>0.76300000000000001</v>
      </c>
      <c r="J206">
        <v>2</v>
      </c>
      <c r="K206">
        <v>-4.8239999999999998</v>
      </c>
      <c r="L206">
        <v>1</v>
      </c>
      <c r="M206">
        <v>9.98E-2</v>
      </c>
      <c r="N206">
        <v>9.1600000000000001E-2</v>
      </c>
      <c r="O206" s="9" t="s">
        <v>628</v>
      </c>
      <c r="P206">
        <v>7.4300000000000005E-2</v>
      </c>
      <c r="Q206">
        <v>0.39400000000000002</v>
      </c>
      <c r="R206">
        <v>96.808000000000007</v>
      </c>
      <c r="S206">
        <v>4</v>
      </c>
      <c r="T206" t="s">
        <v>4</v>
      </c>
    </row>
    <row r="207" spans="1:20" x14ac:dyDescent="0.3">
      <c r="A207" t="s">
        <v>629</v>
      </c>
      <c r="B207" t="s">
        <v>630</v>
      </c>
      <c r="C207" t="s">
        <v>631</v>
      </c>
      <c r="D207" t="s">
        <v>632</v>
      </c>
      <c r="E207">
        <v>52</v>
      </c>
      <c r="F207">
        <v>336619</v>
      </c>
      <c r="G207" t="b">
        <v>0</v>
      </c>
      <c r="H207">
        <v>0.223</v>
      </c>
      <c r="I207">
        <v>0.89100000000000001</v>
      </c>
      <c r="J207">
        <v>1</v>
      </c>
      <c r="K207">
        <v>-3.6259999999999999</v>
      </c>
      <c r="L207">
        <v>0</v>
      </c>
      <c r="M207">
        <v>0.13800000000000001</v>
      </c>
      <c r="N207">
        <v>0.32500000000000001</v>
      </c>
      <c r="O207">
        <v>0</v>
      </c>
      <c r="P207">
        <v>0.28699999999999998</v>
      </c>
      <c r="Q207">
        <v>0.33300000000000002</v>
      </c>
      <c r="R207">
        <v>159.88800000000001</v>
      </c>
      <c r="S207">
        <v>4</v>
      </c>
      <c r="T207" t="s">
        <v>4</v>
      </c>
    </row>
    <row r="208" spans="1:20" x14ac:dyDescent="0.3">
      <c r="A208" t="s">
        <v>633</v>
      </c>
      <c r="B208" t="s">
        <v>205</v>
      </c>
      <c r="C208" t="s">
        <v>634</v>
      </c>
      <c r="D208" t="s">
        <v>634</v>
      </c>
      <c r="E208">
        <v>55</v>
      </c>
      <c r="F208">
        <v>144830</v>
      </c>
      <c r="G208" t="b">
        <v>0</v>
      </c>
      <c r="H208">
        <v>0.38200000000000001</v>
      </c>
      <c r="I208">
        <v>0.157</v>
      </c>
      <c r="J208">
        <v>1</v>
      </c>
      <c r="K208">
        <v>-16.157</v>
      </c>
      <c r="L208">
        <v>1</v>
      </c>
      <c r="M208">
        <v>3.61E-2</v>
      </c>
      <c r="N208">
        <v>0.878</v>
      </c>
      <c r="O208">
        <v>4.73E-4</v>
      </c>
      <c r="P208">
        <v>0.112</v>
      </c>
      <c r="Q208">
        <v>0.224</v>
      </c>
      <c r="R208">
        <v>136.11000000000001</v>
      </c>
      <c r="S208">
        <v>4</v>
      </c>
      <c r="T208" t="s">
        <v>4</v>
      </c>
    </row>
    <row r="209" spans="1:20" x14ac:dyDescent="0.3">
      <c r="A209" t="s">
        <v>635</v>
      </c>
      <c r="B209" t="s">
        <v>40</v>
      </c>
      <c r="C209" t="s">
        <v>636</v>
      </c>
      <c r="D209" t="s">
        <v>636</v>
      </c>
      <c r="E209">
        <v>67</v>
      </c>
      <c r="F209">
        <v>221538</v>
      </c>
      <c r="G209" t="b">
        <v>0</v>
      </c>
      <c r="H209">
        <v>0.64200000000000002</v>
      </c>
      <c r="I209">
        <v>0.374</v>
      </c>
      <c r="J209">
        <v>5</v>
      </c>
      <c r="K209">
        <v>-10.606</v>
      </c>
      <c r="L209">
        <v>1</v>
      </c>
      <c r="M209">
        <v>3.2000000000000001E-2</v>
      </c>
      <c r="N209">
        <v>0.42299999999999999</v>
      </c>
      <c r="O209" s="9" t="s">
        <v>637</v>
      </c>
      <c r="P209">
        <v>0.435</v>
      </c>
      <c r="Q209">
        <v>9.7900000000000001E-2</v>
      </c>
      <c r="R209">
        <v>129.863</v>
      </c>
      <c r="S209">
        <v>4</v>
      </c>
      <c r="T209" t="s">
        <v>4</v>
      </c>
    </row>
    <row r="210" spans="1:20" x14ac:dyDescent="0.3">
      <c r="A210" t="s">
        <v>638</v>
      </c>
      <c r="B210" t="s">
        <v>179</v>
      </c>
      <c r="C210" t="s">
        <v>639</v>
      </c>
      <c r="D210" t="s">
        <v>639</v>
      </c>
      <c r="E210">
        <v>45</v>
      </c>
      <c r="F210">
        <v>192972</v>
      </c>
      <c r="G210" t="b">
        <v>0</v>
      </c>
      <c r="H210">
        <v>0.436</v>
      </c>
      <c r="I210">
        <v>0.23899999999999999</v>
      </c>
      <c r="J210">
        <v>7</v>
      </c>
      <c r="K210">
        <v>-12.83</v>
      </c>
      <c r="L210">
        <v>1</v>
      </c>
      <c r="M210">
        <v>2.8199999999999999E-2</v>
      </c>
      <c r="N210">
        <v>0.86099999999999999</v>
      </c>
      <c r="O210" s="9" t="s">
        <v>640</v>
      </c>
      <c r="P210">
        <v>9.0200000000000002E-2</v>
      </c>
      <c r="Q210">
        <v>0.13700000000000001</v>
      </c>
      <c r="R210">
        <v>73.760999999999996</v>
      </c>
      <c r="S210">
        <v>4</v>
      </c>
      <c r="T210" t="s">
        <v>4</v>
      </c>
    </row>
    <row r="211" spans="1:20" x14ac:dyDescent="0.3">
      <c r="A211" t="s">
        <v>641</v>
      </c>
      <c r="B211" t="s">
        <v>319</v>
      </c>
      <c r="C211" t="s">
        <v>77</v>
      </c>
      <c r="D211" t="s">
        <v>642</v>
      </c>
      <c r="E211">
        <v>56</v>
      </c>
      <c r="F211">
        <v>278640</v>
      </c>
      <c r="G211" t="b">
        <v>0</v>
      </c>
      <c r="H211">
        <v>0.70199999999999996</v>
      </c>
      <c r="I211">
        <v>0.32600000000000001</v>
      </c>
      <c r="J211">
        <v>1</v>
      </c>
      <c r="K211">
        <v>-6.6379999999999999</v>
      </c>
      <c r="L211">
        <v>1</v>
      </c>
      <c r="M211">
        <v>2.7199999999999998E-2</v>
      </c>
      <c r="N211">
        <v>0.70499999999999996</v>
      </c>
      <c r="O211">
        <v>0</v>
      </c>
      <c r="P211">
        <v>0.16800000000000001</v>
      </c>
      <c r="Q211">
        <v>0.628</v>
      </c>
      <c r="R211">
        <v>79.903999999999996</v>
      </c>
      <c r="S211">
        <v>4</v>
      </c>
      <c r="T211" t="s">
        <v>4</v>
      </c>
    </row>
    <row r="212" spans="1:20" x14ac:dyDescent="0.3">
      <c r="A212" t="s">
        <v>643</v>
      </c>
      <c r="B212" t="s">
        <v>644</v>
      </c>
      <c r="C212" t="s">
        <v>202</v>
      </c>
      <c r="D212" t="s">
        <v>645</v>
      </c>
      <c r="E212">
        <v>37</v>
      </c>
      <c r="F212">
        <v>212864</v>
      </c>
      <c r="G212" t="b">
        <v>0</v>
      </c>
      <c r="H212">
        <v>0.59299999999999997</v>
      </c>
      <c r="I212">
        <v>0.29199999999999998</v>
      </c>
      <c r="J212">
        <v>11</v>
      </c>
      <c r="K212">
        <v>-12.755000000000001</v>
      </c>
      <c r="L212">
        <v>1</v>
      </c>
      <c r="M212">
        <v>3.6400000000000002E-2</v>
      </c>
      <c r="N212">
        <v>0.82799999999999996</v>
      </c>
      <c r="O212">
        <v>0</v>
      </c>
      <c r="P212">
        <v>0.17399999999999999</v>
      </c>
      <c r="Q212">
        <v>0.375</v>
      </c>
      <c r="R212">
        <v>111.121</v>
      </c>
      <c r="S212">
        <v>4</v>
      </c>
      <c r="T212" t="s">
        <v>4</v>
      </c>
    </row>
    <row r="213" spans="1:20" x14ac:dyDescent="0.3">
      <c r="A213" t="s">
        <v>646</v>
      </c>
      <c r="B213" t="s">
        <v>285</v>
      </c>
      <c r="C213" t="s">
        <v>647</v>
      </c>
      <c r="D213" t="s">
        <v>648</v>
      </c>
      <c r="E213">
        <v>54</v>
      </c>
      <c r="F213">
        <v>219466</v>
      </c>
      <c r="G213" t="b">
        <v>0</v>
      </c>
      <c r="H213">
        <v>0.28499999999999998</v>
      </c>
      <c r="I213">
        <v>0.186</v>
      </c>
      <c r="J213">
        <v>1</v>
      </c>
      <c r="K213">
        <v>-12.728999999999999</v>
      </c>
      <c r="L213">
        <v>1</v>
      </c>
      <c r="M213">
        <v>2.8799999999999999E-2</v>
      </c>
      <c r="N213">
        <v>0.76</v>
      </c>
      <c r="O213" s="9" t="s">
        <v>649</v>
      </c>
      <c r="P213">
        <v>0.104</v>
      </c>
      <c r="Q213">
        <v>0.20300000000000001</v>
      </c>
      <c r="R213">
        <v>153.84800000000001</v>
      </c>
      <c r="S213">
        <v>4</v>
      </c>
      <c r="T213" t="s">
        <v>4</v>
      </c>
    </row>
    <row r="214" spans="1:20" x14ac:dyDescent="0.3">
      <c r="A214" t="s">
        <v>650</v>
      </c>
      <c r="B214" t="s">
        <v>393</v>
      </c>
      <c r="C214" t="s">
        <v>468</v>
      </c>
      <c r="D214" t="s">
        <v>469</v>
      </c>
      <c r="E214">
        <v>66</v>
      </c>
      <c r="F214">
        <v>249120</v>
      </c>
      <c r="G214" t="b">
        <v>0</v>
      </c>
      <c r="H214">
        <v>0.63600000000000001</v>
      </c>
      <c r="I214">
        <v>0.625</v>
      </c>
      <c r="J214">
        <v>11</v>
      </c>
      <c r="K214">
        <v>-7.8949999999999996</v>
      </c>
      <c r="L214">
        <v>1</v>
      </c>
      <c r="M214">
        <v>2.7699999999999999E-2</v>
      </c>
      <c r="N214">
        <v>0.222</v>
      </c>
      <c r="O214" s="9" t="s">
        <v>470</v>
      </c>
      <c r="P214">
        <v>0.11899999999999999</v>
      </c>
      <c r="Q214">
        <v>0.34200000000000003</v>
      </c>
      <c r="R214">
        <v>93.930999999999997</v>
      </c>
      <c r="S214">
        <v>4</v>
      </c>
      <c r="T214" t="s">
        <v>4</v>
      </c>
    </row>
    <row r="215" spans="1:20" x14ac:dyDescent="0.3">
      <c r="A215" t="s">
        <v>651</v>
      </c>
      <c r="B215" t="s">
        <v>238</v>
      </c>
      <c r="C215" t="s">
        <v>652</v>
      </c>
      <c r="D215" t="s">
        <v>653</v>
      </c>
      <c r="E215">
        <v>63</v>
      </c>
      <c r="F215">
        <v>148400</v>
      </c>
      <c r="G215" t="b">
        <v>0</v>
      </c>
      <c r="H215">
        <v>0.69799999999999995</v>
      </c>
      <c r="I215">
        <v>0.28499999999999998</v>
      </c>
      <c r="J215">
        <v>0</v>
      </c>
      <c r="K215">
        <v>-7.6319999999999997</v>
      </c>
      <c r="L215">
        <v>1</v>
      </c>
      <c r="M215">
        <v>5.5300000000000002E-2</v>
      </c>
      <c r="N215">
        <v>0.92700000000000005</v>
      </c>
      <c r="O215">
        <v>0</v>
      </c>
      <c r="P215">
        <v>8.8300000000000003E-2</v>
      </c>
      <c r="Q215">
        <v>0.53</v>
      </c>
      <c r="R215">
        <v>135.02699999999999</v>
      </c>
      <c r="S215">
        <v>4</v>
      </c>
      <c r="T215" t="s">
        <v>4</v>
      </c>
    </row>
    <row r="216" spans="1:20" x14ac:dyDescent="0.3">
      <c r="A216" t="s">
        <v>654</v>
      </c>
      <c r="B216" t="s">
        <v>655</v>
      </c>
      <c r="C216" t="s">
        <v>42</v>
      </c>
      <c r="D216" t="s">
        <v>656</v>
      </c>
      <c r="E216">
        <v>58</v>
      </c>
      <c r="F216">
        <v>244800</v>
      </c>
      <c r="G216" t="b">
        <v>0</v>
      </c>
      <c r="H216">
        <v>0.60099999999999998</v>
      </c>
      <c r="I216">
        <v>0.439</v>
      </c>
      <c r="J216">
        <v>8</v>
      </c>
      <c r="K216">
        <v>-7.5890000000000004</v>
      </c>
      <c r="L216">
        <v>1</v>
      </c>
      <c r="M216">
        <v>2.69E-2</v>
      </c>
      <c r="N216">
        <v>6.4199999999999993E-2</v>
      </c>
      <c r="O216">
        <v>0</v>
      </c>
      <c r="P216">
        <v>9.4200000000000006E-2</v>
      </c>
      <c r="Q216">
        <v>0.27500000000000002</v>
      </c>
      <c r="R216">
        <v>99.975999999999999</v>
      </c>
      <c r="S216">
        <v>4</v>
      </c>
      <c r="T216" t="s">
        <v>4</v>
      </c>
    </row>
    <row r="217" spans="1:20" x14ac:dyDescent="0.3">
      <c r="A217" t="s">
        <v>657</v>
      </c>
      <c r="B217" t="s">
        <v>58</v>
      </c>
      <c r="C217" t="s">
        <v>658</v>
      </c>
      <c r="D217" t="s">
        <v>60</v>
      </c>
      <c r="E217">
        <v>55</v>
      </c>
      <c r="F217">
        <v>270840</v>
      </c>
      <c r="G217" t="b">
        <v>0</v>
      </c>
      <c r="H217">
        <v>0.33200000000000002</v>
      </c>
      <c r="I217">
        <v>0.29799999999999999</v>
      </c>
      <c r="J217">
        <v>4</v>
      </c>
      <c r="K217">
        <v>-14.173999999999999</v>
      </c>
      <c r="L217">
        <v>1</v>
      </c>
      <c r="M217">
        <v>5.6899999999999999E-2</v>
      </c>
      <c r="N217">
        <v>0.875</v>
      </c>
      <c r="O217">
        <v>7.8399999999999997E-3</v>
      </c>
      <c r="P217">
        <v>0.114</v>
      </c>
      <c r="Q217">
        <v>0.24299999999999999</v>
      </c>
      <c r="R217">
        <v>83.555000000000007</v>
      </c>
      <c r="S217">
        <v>4</v>
      </c>
      <c r="T217" t="s">
        <v>4</v>
      </c>
    </row>
    <row r="218" spans="1:20" x14ac:dyDescent="0.3">
      <c r="A218" t="s">
        <v>659</v>
      </c>
      <c r="B218" t="s">
        <v>660</v>
      </c>
      <c r="C218" t="s">
        <v>661</v>
      </c>
      <c r="D218" t="s">
        <v>662</v>
      </c>
      <c r="E218">
        <v>65</v>
      </c>
      <c r="F218">
        <v>279826</v>
      </c>
      <c r="G218" t="b">
        <v>0</v>
      </c>
      <c r="H218">
        <v>0.38600000000000001</v>
      </c>
      <c r="I218">
        <v>0.45200000000000001</v>
      </c>
      <c r="J218">
        <v>2</v>
      </c>
      <c r="K218">
        <v>-7.7149999999999999</v>
      </c>
      <c r="L218">
        <v>1</v>
      </c>
      <c r="M218">
        <v>2.7799999999999998E-2</v>
      </c>
      <c r="N218">
        <v>0.41699999999999998</v>
      </c>
      <c r="O218">
        <v>0</v>
      </c>
      <c r="P218">
        <v>8.8099999999999998E-2</v>
      </c>
      <c r="Q218">
        <v>0.28699999999999998</v>
      </c>
      <c r="R218">
        <v>169.83699999999999</v>
      </c>
      <c r="S218">
        <v>3</v>
      </c>
      <c r="T218" t="s">
        <v>4</v>
      </c>
    </row>
    <row r="219" spans="1:20" x14ac:dyDescent="0.3">
      <c r="A219" t="s">
        <v>663</v>
      </c>
      <c r="B219" t="s">
        <v>40</v>
      </c>
      <c r="C219" t="s">
        <v>41</v>
      </c>
      <c r="D219" t="s">
        <v>664</v>
      </c>
      <c r="E219">
        <v>69</v>
      </c>
      <c r="F219">
        <v>244067</v>
      </c>
      <c r="G219" t="b">
        <v>0</v>
      </c>
      <c r="H219">
        <v>0.62</v>
      </c>
      <c r="I219">
        <v>0.66800000000000004</v>
      </c>
      <c r="J219">
        <v>9</v>
      </c>
      <c r="K219">
        <v>-5.7190000000000003</v>
      </c>
      <c r="L219">
        <v>1</v>
      </c>
      <c r="M219">
        <v>3.0499999999999999E-2</v>
      </c>
      <c r="N219">
        <v>8.7999999999999995E-2</v>
      </c>
      <c r="O219">
        <v>0</v>
      </c>
      <c r="P219">
        <v>0.36199999999999999</v>
      </c>
      <c r="Q219">
        <v>0.183</v>
      </c>
      <c r="R219">
        <v>118.01300000000001</v>
      </c>
      <c r="S219">
        <v>4</v>
      </c>
      <c r="T219" t="s">
        <v>4</v>
      </c>
    </row>
    <row r="220" spans="1:20" x14ac:dyDescent="0.3">
      <c r="A220" t="s">
        <v>665</v>
      </c>
      <c r="B220" t="s">
        <v>644</v>
      </c>
      <c r="C220" t="s">
        <v>552</v>
      </c>
      <c r="D220" t="s">
        <v>552</v>
      </c>
      <c r="E220">
        <v>44</v>
      </c>
      <c r="F220">
        <v>214738</v>
      </c>
      <c r="G220" t="b">
        <v>0</v>
      </c>
      <c r="H220">
        <v>0.39400000000000002</v>
      </c>
      <c r="I220">
        <v>0.28100000000000003</v>
      </c>
      <c r="J220">
        <v>9</v>
      </c>
      <c r="K220">
        <v>-11.12</v>
      </c>
      <c r="L220">
        <v>1</v>
      </c>
      <c r="M220">
        <v>4.1399999999999999E-2</v>
      </c>
      <c r="N220">
        <v>0.82599999999999996</v>
      </c>
      <c r="O220">
        <v>0</v>
      </c>
      <c r="P220">
        <v>8.5400000000000004E-2</v>
      </c>
      <c r="Q220">
        <v>0.48499999999999999</v>
      </c>
      <c r="R220">
        <v>90.043999999999997</v>
      </c>
      <c r="S220">
        <v>4</v>
      </c>
      <c r="T220" t="s">
        <v>4</v>
      </c>
    </row>
    <row r="221" spans="1:20" x14ac:dyDescent="0.3">
      <c r="A221" t="s">
        <v>666</v>
      </c>
      <c r="B221" t="s">
        <v>6</v>
      </c>
      <c r="C221" t="s">
        <v>667</v>
      </c>
      <c r="D221" t="s">
        <v>667</v>
      </c>
      <c r="E221">
        <v>39</v>
      </c>
      <c r="F221">
        <v>207677</v>
      </c>
      <c r="G221" t="b">
        <v>0</v>
      </c>
      <c r="H221">
        <v>0.59</v>
      </c>
      <c r="I221">
        <v>0.55200000000000005</v>
      </c>
      <c r="J221">
        <v>7</v>
      </c>
      <c r="K221">
        <v>-10.496</v>
      </c>
      <c r="L221">
        <v>1</v>
      </c>
      <c r="M221">
        <v>4.07E-2</v>
      </c>
      <c r="N221">
        <v>0.65400000000000003</v>
      </c>
      <c r="O221">
        <v>3.59E-4</v>
      </c>
      <c r="P221">
        <v>0.128</v>
      </c>
      <c r="Q221">
        <v>0.63500000000000001</v>
      </c>
      <c r="R221">
        <v>155.101</v>
      </c>
      <c r="S221">
        <v>5</v>
      </c>
      <c r="T221" t="s">
        <v>4</v>
      </c>
    </row>
    <row r="222" spans="1:20" x14ac:dyDescent="0.3">
      <c r="A222" t="s">
        <v>668</v>
      </c>
      <c r="B222" t="s">
        <v>164</v>
      </c>
      <c r="C222" t="s">
        <v>487</v>
      </c>
      <c r="D222" t="s">
        <v>669</v>
      </c>
      <c r="E222">
        <v>54</v>
      </c>
      <c r="F222">
        <v>265506</v>
      </c>
      <c r="G222" t="b">
        <v>0</v>
      </c>
      <c r="H222">
        <v>0.53900000000000003</v>
      </c>
      <c r="I222">
        <v>0.71699999999999997</v>
      </c>
      <c r="J222">
        <v>3</v>
      </c>
      <c r="K222">
        <v>-7.3849999999999998</v>
      </c>
      <c r="L222">
        <v>1</v>
      </c>
      <c r="M222">
        <v>3.1E-2</v>
      </c>
      <c r="N222">
        <v>2.9799999999999998E-4</v>
      </c>
      <c r="O222">
        <v>0.111</v>
      </c>
      <c r="P222">
        <v>0.125</v>
      </c>
      <c r="Q222">
        <v>0.21199999999999999</v>
      </c>
      <c r="R222">
        <v>117.973</v>
      </c>
      <c r="S222">
        <v>4</v>
      </c>
      <c r="T222" t="s">
        <v>4</v>
      </c>
    </row>
    <row r="223" spans="1:20" x14ac:dyDescent="0.3">
      <c r="A223" t="s">
        <v>670</v>
      </c>
      <c r="B223" t="s">
        <v>644</v>
      </c>
      <c r="C223" t="s">
        <v>671</v>
      </c>
      <c r="D223" t="s">
        <v>672</v>
      </c>
      <c r="E223">
        <v>44</v>
      </c>
      <c r="F223">
        <v>188494</v>
      </c>
      <c r="G223" t="b">
        <v>0</v>
      </c>
      <c r="H223">
        <v>0.54300000000000004</v>
      </c>
      <c r="I223">
        <v>0.13800000000000001</v>
      </c>
      <c r="J223">
        <v>0</v>
      </c>
      <c r="K223">
        <v>-14.331</v>
      </c>
      <c r="L223">
        <v>1</v>
      </c>
      <c r="M223">
        <v>5.3100000000000001E-2</v>
      </c>
      <c r="N223">
        <v>0.79100000000000004</v>
      </c>
      <c r="O223">
        <v>0</v>
      </c>
      <c r="P223">
        <v>0.185</v>
      </c>
      <c r="Q223">
        <v>0.3</v>
      </c>
      <c r="R223">
        <v>115.65</v>
      </c>
      <c r="S223">
        <v>4</v>
      </c>
      <c r="T223" t="s">
        <v>4</v>
      </c>
    </row>
    <row r="224" spans="1:20" x14ac:dyDescent="0.3">
      <c r="A224" t="s">
        <v>673</v>
      </c>
      <c r="B224" t="s">
        <v>40</v>
      </c>
      <c r="C224" t="s">
        <v>674</v>
      </c>
      <c r="D224" t="s">
        <v>674</v>
      </c>
      <c r="E224">
        <v>70</v>
      </c>
      <c r="F224">
        <v>210354</v>
      </c>
      <c r="G224" t="b">
        <v>0</v>
      </c>
      <c r="H224">
        <v>0.62</v>
      </c>
      <c r="I224">
        <v>0.54700000000000004</v>
      </c>
      <c r="J224">
        <v>1</v>
      </c>
      <c r="K224">
        <v>-6.7720000000000002</v>
      </c>
      <c r="L224">
        <v>1</v>
      </c>
      <c r="M224">
        <v>2.4799999999999999E-2</v>
      </c>
      <c r="N224">
        <v>0.112</v>
      </c>
      <c r="O224">
        <v>0</v>
      </c>
      <c r="P224">
        <v>0.19</v>
      </c>
      <c r="Q224">
        <v>0.20799999999999999</v>
      </c>
      <c r="R224">
        <v>98.031999999999996</v>
      </c>
      <c r="S224">
        <v>4</v>
      </c>
      <c r="T224" t="s">
        <v>4</v>
      </c>
    </row>
    <row r="225" spans="1:20" x14ac:dyDescent="0.3">
      <c r="A225" t="s">
        <v>675</v>
      </c>
      <c r="B225" t="s">
        <v>676</v>
      </c>
      <c r="C225" t="s">
        <v>677</v>
      </c>
      <c r="D225" t="s">
        <v>677</v>
      </c>
      <c r="E225">
        <v>64</v>
      </c>
      <c r="F225">
        <v>200706</v>
      </c>
      <c r="G225" t="b">
        <v>0</v>
      </c>
      <c r="H225">
        <v>0.76100000000000001</v>
      </c>
      <c r="I225">
        <v>0.311</v>
      </c>
      <c r="J225">
        <v>5</v>
      </c>
      <c r="K225">
        <v>-10.597</v>
      </c>
      <c r="L225">
        <v>1</v>
      </c>
      <c r="M225">
        <v>6.9199999999999998E-2</v>
      </c>
      <c r="N225">
        <v>0.64700000000000002</v>
      </c>
      <c r="O225">
        <v>0</v>
      </c>
      <c r="P225">
        <v>0.15</v>
      </c>
      <c r="Q225">
        <v>0.55300000000000005</v>
      </c>
      <c r="R225">
        <v>109.89100000000001</v>
      </c>
      <c r="S225">
        <v>4</v>
      </c>
      <c r="T225" t="s">
        <v>4</v>
      </c>
    </row>
    <row r="226" spans="1:20" x14ac:dyDescent="0.3">
      <c r="A226" t="s">
        <v>678</v>
      </c>
      <c r="B226" t="s">
        <v>63</v>
      </c>
      <c r="C226" t="s">
        <v>679</v>
      </c>
      <c r="D226" t="s">
        <v>679</v>
      </c>
      <c r="E226">
        <v>40</v>
      </c>
      <c r="F226">
        <v>199256</v>
      </c>
      <c r="G226" t="b">
        <v>0</v>
      </c>
      <c r="H226">
        <v>0.67400000000000004</v>
      </c>
      <c r="I226">
        <v>0.122</v>
      </c>
      <c r="J226">
        <v>1</v>
      </c>
      <c r="K226">
        <v>-17.963000000000001</v>
      </c>
      <c r="L226">
        <v>1</v>
      </c>
      <c r="M226">
        <v>4.2700000000000002E-2</v>
      </c>
      <c r="N226">
        <v>0.88200000000000001</v>
      </c>
      <c r="O226">
        <v>0</v>
      </c>
      <c r="P226">
        <v>0.13900000000000001</v>
      </c>
      <c r="Q226">
        <v>0.33900000000000002</v>
      </c>
      <c r="R226">
        <v>130.01400000000001</v>
      </c>
      <c r="S226">
        <v>4</v>
      </c>
      <c r="T226" t="s">
        <v>4</v>
      </c>
    </row>
    <row r="227" spans="1:20" x14ac:dyDescent="0.3">
      <c r="A227" t="s">
        <v>680</v>
      </c>
      <c r="B227" t="s">
        <v>526</v>
      </c>
      <c r="C227" t="s">
        <v>681</v>
      </c>
      <c r="D227" t="s">
        <v>681</v>
      </c>
      <c r="E227">
        <v>47</v>
      </c>
      <c r="F227">
        <v>205666</v>
      </c>
      <c r="G227" t="b">
        <v>0</v>
      </c>
      <c r="H227">
        <v>0.42899999999999999</v>
      </c>
      <c r="I227">
        <v>0.35799999999999998</v>
      </c>
      <c r="J227">
        <v>0</v>
      </c>
      <c r="K227">
        <v>-9.0760000000000005</v>
      </c>
      <c r="L227">
        <v>1</v>
      </c>
      <c r="M227">
        <v>3.4599999999999999E-2</v>
      </c>
      <c r="N227">
        <v>0.61399999999999999</v>
      </c>
      <c r="O227">
        <v>0</v>
      </c>
      <c r="P227">
        <v>8.7499999999999994E-2</v>
      </c>
      <c r="Q227">
        <v>0.187</v>
      </c>
      <c r="R227">
        <v>134.279</v>
      </c>
      <c r="S227">
        <v>4</v>
      </c>
      <c r="T227" t="s">
        <v>4</v>
      </c>
    </row>
    <row r="228" spans="1:20" x14ac:dyDescent="0.3">
      <c r="A228" t="s">
        <v>682</v>
      </c>
      <c r="B228" t="s">
        <v>243</v>
      </c>
      <c r="C228" t="s">
        <v>683</v>
      </c>
      <c r="D228" t="s">
        <v>27</v>
      </c>
      <c r="E228">
        <v>40</v>
      </c>
      <c r="F228">
        <v>229573</v>
      </c>
      <c r="G228" t="b">
        <v>0</v>
      </c>
      <c r="H228">
        <v>0.45600000000000002</v>
      </c>
      <c r="I228">
        <v>0.10100000000000001</v>
      </c>
      <c r="J228">
        <v>2</v>
      </c>
      <c r="K228">
        <v>-11.75</v>
      </c>
      <c r="L228">
        <v>1</v>
      </c>
      <c r="M228">
        <v>3.7999999999999999E-2</v>
      </c>
      <c r="N228">
        <v>0.876</v>
      </c>
      <c r="O228" s="9" t="s">
        <v>684</v>
      </c>
      <c r="P228">
        <v>7.7600000000000002E-2</v>
      </c>
      <c r="Q228">
        <v>0.155</v>
      </c>
      <c r="R228">
        <v>139.89599999999999</v>
      </c>
      <c r="S228">
        <v>3</v>
      </c>
      <c r="T228" t="s">
        <v>4</v>
      </c>
    </row>
    <row r="229" spans="1:20" x14ac:dyDescent="0.3">
      <c r="A229" t="s">
        <v>685</v>
      </c>
      <c r="B229" t="s">
        <v>40</v>
      </c>
      <c r="C229" t="s">
        <v>41</v>
      </c>
      <c r="D229" t="s">
        <v>686</v>
      </c>
      <c r="E229">
        <v>55</v>
      </c>
      <c r="F229">
        <v>240952</v>
      </c>
      <c r="G229" t="b">
        <v>0</v>
      </c>
      <c r="H229">
        <v>0.64700000000000002</v>
      </c>
      <c r="I229">
        <v>0.56699999999999995</v>
      </c>
      <c r="J229">
        <v>1</v>
      </c>
      <c r="K229">
        <v>-8.9710000000000001</v>
      </c>
      <c r="L229">
        <v>1</v>
      </c>
      <c r="M229">
        <v>3.2800000000000003E-2</v>
      </c>
      <c r="N229">
        <v>3.1800000000000002E-2</v>
      </c>
      <c r="O229">
        <v>0</v>
      </c>
      <c r="P229">
        <v>0.13300000000000001</v>
      </c>
      <c r="Q229">
        <v>0.374</v>
      </c>
      <c r="R229">
        <v>125.871</v>
      </c>
      <c r="S229">
        <v>4</v>
      </c>
      <c r="T229" t="s">
        <v>4</v>
      </c>
    </row>
    <row r="230" spans="1:20" x14ac:dyDescent="0.3">
      <c r="A230" t="s">
        <v>687</v>
      </c>
      <c r="B230" t="s">
        <v>688</v>
      </c>
      <c r="C230" t="s">
        <v>689</v>
      </c>
      <c r="D230" t="s">
        <v>690</v>
      </c>
      <c r="E230">
        <v>57</v>
      </c>
      <c r="F230">
        <v>199594</v>
      </c>
      <c r="G230" t="b">
        <v>0</v>
      </c>
      <c r="H230">
        <v>0.32200000000000001</v>
      </c>
      <c r="I230">
        <v>0.21299999999999999</v>
      </c>
      <c r="J230">
        <v>10</v>
      </c>
      <c r="K230">
        <v>-14.914999999999999</v>
      </c>
      <c r="L230">
        <v>0</v>
      </c>
      <c r="M230">
        <v>3.1800000000000002E-2</v>
      </c>
      <c r="N230">
        <v>0.61099999999999999</v>
      </c>
      <c r="O230">
        <v>0</v>
      </c>
      <c r="P230">
        <v>0.113</v>
      </c>
      <c r="Q230">
        <v>0.16</v>
      </c>
      <c r="R230">
        <v>160.38900000000001</v>
      </c>
      <c r="S230">
        <v>4</v>
      </c>
      <c r="T230" t="s">
        <v>4</v>
      </c>
    </row>
    <row r="231" spans="1:20" x14ac:dyDescent="0.3">
      <c r="A231" t="s">
        <v>691</v>
      </c>
      <c r="B231" t="s">
        <v>692</v>
      </c>
      <c r="C231" t="s">
        <v>693</v>
      </c>
      <c r="D231" t="s">
        <v>694</v>
      </c>
      <c r="E231">
        <v>48</v>
      </c>
      <c r="F231">
        <v>317280</v>
      </c>
      <c r="G231" t="b">
        <v>0</v>
      </c>
      <c r="H231">
        <v>0.48199999999999998</v>
      </c>
      <c r="I231">
        <v>0.38100000000000001</v>
      </c>
      <c r="J231">
        <v>2</v>
      </c>
      <c r="K231">
        <v>-13.93</v>
      </c>
      <c r="L231">
        <v>1</v>
      </c>
      <c r="M231">
        <v>3.1099999999999999E-2</v>
      </c>
      <c r="N231">
        <v>0.45500000000000002</v>
      </c>
      <c r="O231">
        <v>2.9499999999999999E-3</v>
      </c>
      <c r="P231">
        <v>0.114</v>
      </c>
      <c r="Q231">
        <v>0.42</v>
      </c>
      <c r="R231">
        <v>81.712000000000003</v>
      </c>
      <c r="S231">
        <v>4</v>
      </c>
      <c r="T231" t="s">
        <v>4</v>
      </c>
    </row>
    <row r="232" spans="1:20" x14ac:dyDescent="0.3">
      <c r="A232" t="s">
        <v>695</v>
      </c>
      <c r="B232" t="s">
        <v>696</v>
      </c>
      <c r="C232" t="s">
        <v>697</v>
      </c>
      <c r="D232" t="s">
        <v>698</v>
      </c>
      <c r="E232">
        <v>54</v>
      </c>
      <c r="F232">
        <v>231965</v>
      </c>
      <c r="G232" t="b">
        <v>0</v>
      </c>
      <c r="H232">
        <v>0.39300000000000002</v>
      </c>
      <c r="I232">
        <v>0.20699999999999999</v>
      </c>
      <c r="J232">
        <v>10</v>
      </c>
      <c r="K232">
        <v>-11.865</v>
      </c>
      <c r="L232">
        <v>1</v>
      </c>
      <c r="M232">
        <v>3.9199999999999999E-2</v>
      </c>
      <c r="N232">
        <v>0.877</v>
      </c>
      <c r="O232">
        <v>0</v>
      </c>
      <c r="P232">
        <v>0.104</v>
      </c>
      <c r="Q232">
        <v>0.26200000000000001</v>
      </c>
      <c r="R232">
        <v>163.99</v>
      </c>
      <c r="S232">
        <v>4</v>
      </c>
      <c r="T232" t="s">
        <v>4</v>
      </c>
    </row>
    <row r="233" spans="1:20" x14ac:dyDescent="0.3">
      <c r="A233" t="s">
        <v>699</v>
      </c>
      <c r="B233" t="s">
        <v>201</v>
      </c>
      <c r="C233" t="s">
        <v>202</v>
      </c>
      <c r="D233" t="s">
        <v>700</v>
      </c>
      <c r="E233">
        <v>53</v>
      </c>
      <c r="F233">
        <v>200800</v>
      </c>
      <c r="G233" t="b">
        <v>0</v>
      </c>
      <c r="H233">
        <v>0.42299999999999999</v>
      </c>
      <c r="I233">
        <v>0.20699999999999999</v>
      </c>
      <c r="J233">
        <v>7</v>
      </c>
      <c r="K233">
        <v>-8.8109999999999999</v>
      </c>
      <c r="L233">
        <v>1</v>
      </c>
      <c r="M233">
        <v>2.8899999999999999E-2</v>
      </c>
      <c r="N233">
        <v>0.88700000000000001</v>
      </c>
      <c r="O233">
        <v>0</v>
      </c>
      <c r="P233">
        <v>9.4799999999999995E-2</v>
      </c>
      <c r="Q233">
        <v>0.20899999999999999</v>
      </c>
      <c r="R233">
        <v>149.66399999999999</v>
      </c>
      <c r="S233">
        <v>4</v>
      </c>
      <c r="T233" t="s">
        <v>4</v>
      </c>
    </row>
    <row r="234" spans="1:20" x14ac:dyDescent="0.3">
      <c r="A234" t="s">
        <v>701</v>
      </c>
      <c r="B234" t="s">
        <v>205</v>
      </c>
      <c r="C234" t="s">
        <v>702</v>
      </c>
      <c r="D234" t="s">
        <v>703</v>
      </c>
      <c r="E234">
        <v>60</v>
      </c>
      <c r="F234">
        <v>261665</v>
      </c>
      <c r="G234" t="b">
        <v>0</v>
      </c>
      <c r="H234">
        <v>0.52200000000000002</v>
      </c>
      <c r="I234">
        <v>0.152</v>
      </c>
      <c r="J234">
        <v>2</v>
      </c>
      <c r="K234">
        <v>-14.996</v>
      </c>
      <c r="L234">
        <v>1</v>
      </c>
      <c r="M234">
        <v>3.0300000000000001E-2</v>
      </c>
      <c r="N234">
        <v>0.78800000000000003</v>
      </c>
      <c r="O234" s="9" t="s">
        <v>704</v>
      </c>
      <c r="P234">
        <v>0.14799999999999999</v>
      </c>
      <c r="Q234">
        <v>0.13300000000000001</v>
      </c>
      <c r="R234">
        <v>144.05500000000001</v>
      </c>
      <c r="S234">
        <v>4</v>
      </c>
      <c r="T234" t="s">
        <v>4</v>
      </c>
    </row>
    <row r="235" spans="1:20" x14ac:dyDescent="0.3">
      <c r="A235" t="s">
        <v>705</v>
      </c>
      <c r="B235" t="s">
        <v>388</v>
      </c>
      <c r="C235" t="s">
        <v>706</v>
      </c>
      <c r="D235" t="s">
        <v>706</v>
      </c>
      <c r="E235">
        <v>54</v>
      </c>
      <c r="F235">
        <v>231605</v>
      </c>
      <c r="G235" t="b">
        <v>0</v>
      </c>
      <c r="H235">
        <v>0.54700000000000004</v>
      </c>
      <c r="I235">
        <v>0.313</v>
      </c>
      <c r="J235">
        <v>0</v>
      </c>
      <c r="K235">
        <v>-7.9820000000000002</v>
      </c>
      <c r="L235">
        <v>1</v>
      </c>
      <c r="M235">
        <v>3.15E-2</v>
      </c>
      <c r="N235">
        <v>0.61199999999999999</v>
      </c>
      <c r="O235" s="9" t="s">
        <v>707</v>
      </c>
      <c r="P235">
        <v>0.111</v>
      </c>
      <c r="Q235">
        <v>0.26100000000000001</v>
      </c>
      <c r="R235">
        <v>133.73699999999999</v>
      </c>
      <c r="S235">
        <v>4</v>
      </c>
      <c r="T235" t="s">
        <v>4</v>
      </c>
    </row>
    <row r="236" spans="1:20" x14ac:dyDescent="0.3">
      <c r="A236" t="s">
        <v>708</v>
      </c>
      <c r="B236" t="s">
        <v>692</v>
      </c>
      <c r="C236" t="s">
        <v>709</v>
      </c>
      <c r="D236" t="s">
        <v>710</v>
      </c>
      <c r="E236">
        <v>62</v>
      </c>
      <c r="F236">
        <v>306200</v>
      </c>
      <c r="G236" t="b">
        <v>0</v>
      </c>
      <c r="H236">
        <v>0.504</v>
      </c>
      <c r="I236">
        <v>0.32100000000000001</v>
      </c>
      <c r="J236">
        <v>7</v>
      </c>
      <c r="K236">
        <v>-13.807</v>
      </c>
      <c r="L236">
        <v>1</v>
      </c>
      <c r="M236">
        <v>3.1600000000000003E-2</v>
      </c>
      <c r="N236">
        <v>0.14899999999999999</v>
      </c>
      <c r="O236">
        <v>1.07E-4</v>
      </c>
      <c r="P236">
        <v>0.14699999999999999</v>
      </c>
      <c r="Q236">
        <v>0.57699999999999996</v>
      </c>
      <c r="R236">
        <v>170.13399999999999</v>
      </c>
      <c r="S236">
        <v>3</v>
      </c>
      <c r="T236" t="s">
        <v>4</v>
      </c>
    </row>
    <row r="237" spans="1:20" x14ac:dyDescent="0.3">
      <c r="A237" t="s">
        <v>711</v>
      </c>
      <c r="B237" t="s">
        <v>676</v>
      </c>
      <c r="C237" t="s">
        <v>712</v>
      </c>
      <c r="D237" t="s">
        <v>713</v>
      </c>
      <c r="E237">
        <v>51</v>
      </c>
      <c r="F237">
        <v>224847</v>
      </c>
      <c r="G237" t="b">
        <v>0</v>
      </c>
      <c r="H237">
        <v>0.46600000000000003</v>
      </c>
      <c r="I237">
        <v>0.161</v>
      </c>
      <c r="J237">
        <v>7</v>
      </c>
      <c r="K237">
        <v>-14.497999999999999</v>
      </c>
      <c r="L237">
        <v>1</v>
      </c>
      <c r="M237">
        <v>4.9200000000000001E-2</v>
      </c>
      <c r="N237">
        <v>0.97899999999999998</v>
      </c>
      <c r="O237">
        <v>2.3800000000000001E-4</v>
      </c>
      <c r="P237">
        <v>0.23100000000000001</v>
      </c>
      <c r="Q237">
        <v>0.17100000000000001</v>
      </c>
      <c r="R237">
        <v>139.167</v>
      </c>
      <c r="S237">
        <v>3</v>
      </c>
      <c r="T237" t="s">
        <v>4</v>
      </c>
    </row>
    <row r="238" spans="1:20" x14ac:dyDescent="0.3">
      <c r="A238" t="s">
        <v>714</v>
      </c>
      <c r="B238" t="s">
        <v>715</v>
      </c>
      <c r="C238" t="s">
        <v>716</v>
      </c>
      <c r="D238" t="s">
        <v>717</v>
      </c>
      <c r="E238">
        <v>61</v>
      </c>
      <c r="F238">
        <v>250063</v>
      </c>
      <c r="G238" t="b">
        <v>0</v>
      </c>
      <c r="H238">
        <v>0.61899999999999999</v>
      </c>
      <c r="I238">
        <v>0.28000000000000003</v>
      </c>
      <c r="J238">
        <v>8</v>
      </c>
      <c r="K238">
        <v>-10.238</v>
      </c>
      <c r="L238">
        <v>0</v>
      </c>
      <c r="M238">
        <v>3.1699999999999999E-2</v>
      </c>
      <c r="N238">
        <v>0.73</v>
      </c>
      <c r="O238">
        <v>0</v>
      </c>
      <c r="P238">
        <v>0.10299999999999999</v>
      </c>
      <c r="Q238">
        <v>0.29199999999999998</v>
      </c>
      <c r="R238">
        <v>129.94800000000001</v>
      </c>
      <c r="S238">
        <v>4</v>
      </c>
      <c r="T238" t="s">
        <v>4</v>
      </c>
    </row>
    <row r="239" spans="1:20" x14ac:dyDescent="0.3">
      <c r="A239" t="s">
        <v>718</v>
      </c>
      <c r="B239" t="s">
        <v>380</v>
      </c>
      <c r="C239" t="s">
        <v>582</v>
      </c>
      <c r="D239" t="s">
        <v>719</v>
      </c>
      <c r="E239">
        <v>51</v>
      </c>
      <c r="F239">
        <v>201933</v>
      </c>
      <c r="G239" t="b">
        <v>0</v>
      </c>
      <c r="H239">
        <v>0.59599999999999997</v>
      </c>
      <c r="I239">
        <v>0.42899999999999999</v>
      </c>
      <c r="J239">
        <v>3</v>
      </c>
      <c r="K239">
        <v>-10.16</v>
      </c>
      <c r="L239">
        <v>1</v>
      </c>
      <c r="M239">
        <v>3.7699999999999997E-2</v>
      </c>
      <c r="N239">
        <v>0.77500000000000002</v>
      </c>
      <c r="O239">
        <v>1.0699999999999999E-2</v>
      </c>
      <c r="P239">
        <v>9.6199999999999994E-2</v>
      </c>
      <c r="Q239">
        <v>0.22900000000000001</v>
      </c>
      <c r="R239">
        <v>148.08600000000001</v>
      </c>
      <c r="S239">
        <v>4</v>
      </c>
      <c r="T239" t="s">
        <v>4</v>
      </c>
    </row>
    <row r="240" spans="1:20" x14ac:dyDescent="0.3">
      <c r="A240" t="s">
        <v>720</v>
      </c>
      <c r="B240" t="s">
        <v>251</v>
      </c>
      <c r="C240" t="s">
        <v>721</v>
      </c>
      <c r="D240" t="s">
        <v>722</v>
      </c>
      <c r="E240">
        <v>63</v>
      </c>
      <c r="F240">
        <v>158013</v>
      </c>
      <c r="G240" t="b">
        <v>0</v>
      </c>
      <c r="H240">
        <v>0.64500000000000002</v>
      </c>
      <c r="I240">
        <v>0.16900000000000001</v>
      </c>
      <c r="J240">
        <v>9</v>
      </c>
      <c r="K240">
        <v>-15.744</v>
      </c>
      <c r="L240">
        <v>1</v>
      </c>
      <c r="M240">
        <v>3.1699999999999999E-2</v>
      </c>
      <c r="N240">
        <v>0.84399999999999997</v>
      </c>
      <c r="O240">
        <v>1.9000000000000001E-4</v>
      </c>
      <c r="P240">
        <v>0.109</v>
      </c>
      <c r="Q240">
        <v>0.17799999999999999</v>
      </c>
      <c r="R240">
        <v>167.82599999999999</v>
      </c>
      <c r="S240">
        <v>4</v>
      </c>
      <c r="T240" t="s">
        <v>4</v>
      </c>
    </row>
    <row r="241" spans="1:20" x14ac:dyDescent="0.3">
      <c r="A241" t="s">
        <v>723</v>
      </c>
      <c r="B241" t="s">
        <v>692</v>
      </c>
      <c r="C241" t="s">
        <v>724</v>
      </c>
      <c r="D241" t="s">
        <v>725</v>
      </c>
      <c r="E241">
        <v>65</v>
      </c>
      <c r="F241">
        <v>296386</v>
      </c>
      <c r="G241" t="b">
        <v>0</v>
      </c>
      <c r="H241">
        <v>0.52200000000000002</v>
      </c>
      <c r="I241">
        <v>0.25600000000000001</v>
      </c>
      <c r="J241">
        <v>10</v>
      </c>
      <c r="K241">
        <v>-11.215999999999999</v>
      </c>
      <c r="L241">
        <v>1</v>
      </c>
      <c r="M241">
        <v>2.58E-2</v>
      </c>
      <c r="N241">
        <v>0.86</v>
      </c>
      <c r="O241">
        <v>8.0599999999999997E-4</v>
      </c>
      <c r="P241">
        <v>0.14199999999999999</v>
      </c>
      <c r="Q241">
        <v>0.13</v>
      </c>
      <c r="R241">
        <v>76.349000000000004</v>
      </c>
      <c r="S241">
        <v>4</v>
      </c>
      <c r="T241" t="s">
        <v>4</v>
      </c>
    </row>
    <row r="242" spans="1:20" x14ac:dyDescent="0.3">
      <c r="A242" t="s">
        <v>726</v>
      </c>
      <c r="B242" t="s">
        <v>727</v>
      </c>
      <c r="C242" t="s">
        <v>727</v>
      </c>
      <c r="D242" t="s">
        <v>728</v>
      </c>
      <c r="E242">
        <v>64</v>
      </c>
      <c r="F242">
        <v>160453</v>
      </c>
      <c r="G242" t="b">
        <v>0</v>
      </c>
      <c r="H242">
        <v>0.68100000000000005</v>
      </c>
      <c r="I242">
        <v>0.16800000000000001</v>
      </c>
      <c r="J242">
        <v>7</v>
      </c>
      <c r="K242">
        <v>-13.397</v>
      </c>
      <c r="L242">
        <v>1</v>
      </c>
      <c r="M242">
        <v>2.9100000000000001E-2</v>
      </c>
      <c r="N242">
        <v>0.79300000000000004</v>
      </c>
      <c r="O242">
        <v>1.34E-4</v>
      </c>
      <c r="P242">
        <v>0.109</v>
      </c>
      <c r="Q242">
        <v>0.28999999999999998</v>
      </c>
      <c r="R242">
        <v>128.61500000000001</v>
      </c>
      <c r="S242">
        <v>4</v>
      </c>
      <c r="T242" t="s">
        <v>4</v>
      </c>
    </row>
    <row r="243" spans="1:20" x14ac:dyDescent="0.3">
      <c r="A243" t="s">
        <v>729</v>
      </c>
      <c r="B243" t="s">
        <v>319</v>
      </c>
      <c r="C243" t="s">
        <v>343</v>
      </c>
      <c r="D243" t="s">
        <v>730</v>
      </c>
      <c r="E243">
        <v>57</v>
      </c>
      <c r="F243">
        <v>182442</v>
      </c>
      <c r="G243" t="b">
        <v>0</v>
      </c>
      <c r="H243">
        <v>0.73599999999999999</v>
      </c>
      <c r="I243">
        <v>0.36399999999999999</v>
      </c>
      <c r="J243">
        <v>1</v>
      </c>
      <c r="K243">
        <v>-5.9660000000000002</v>
      </c>
      <c r="L243">
        <v>1</v>
      </c>
      <c r="M243">
        <v>3.49E-2</v>
      </c>
      <c r="N243">
        <v>0.74099999999999999</v>
      </c>
      <c r="O243">
        <v>0</v>
      </c>
      <c r="P243">
        <v>9.3200000000000005E-2</v>
      </c>
      <c r="Q243">
        <v>0.371</v>
      </c>
      <c r="R243">
        <v>110.023</v>
      </c>
      <c r="S243">
        <v>4</v>
      </c>
      <c r="T243" t="s">
        <v>4</v>
      </c>
    </row>
    <row r="244" spans="1:20" x14ac:dyDescent="0.3">
      <c r="A244" t="s">
        <v>731</v>
      </c>
      <c r="B244" t="s">
        <v>732</v>
      </c>
      <c r="C244" t="s">
        <v>255</v>
      </c>
      <c r="D244" t="s">
        <v>733</v>
      </c>
      <c r="E244">
        <v>54</v>
      </c>
      <c r="F244">
        <v>181360</v>
      </c>
      <c r="G244" t="b">
        <v>0</v>
      </c>
      <c r="H244">
        <v>0.45100000000000001</v>
      </c>
      <c r="I244">
        <v>0.52800000000000002</v>
      </c>
      <c r="J244">
        <v>2</v>
      </c>
      <c r="K244">
        <v>-6.984</v>
      </c>
      <c r="L244">
        <v>1</v>
      </c>
      <c r="M244">
        <v>3.6400000000000002E-2</v>
      </c>
      <c r="N244">
        <v>0.36599999999999999</v>
      </c>
      <c r="O244">
        <v>0</v>
      </c>
      <c r="P244">
        <v>8.1100000000000005E-2</v>
      </c>
      <c r="Q244">
        <v>0.52700000000000002</v>
      </c>
      <c r="R244">
        <v>139.28</v>
      </c>
      <c r="S244">
        <v>5</v>
      </c>
      <c r="T244" t="s">
        <v>4</v>
      </c>
    </row>
    <row r="245" spans="1:20" x14ac:dyDescent="0.3">
      <c r="A245" t="s">
        <v>734</v>
      </c>
      <c r="B245" t="s">
        <v>735</v>
      </c>
      <c r="C245" t="s">
        <v>736</v>
      </c>
      <c r="D245" t="s">
        <v>737</v>
      </c>
      <c r="E245">
        <v>37</v>
      </c>
      <c r="F245">
        <v>169318</v>
      </c>
      <c r="G245" t="b">
        <v>1</v>
      </c>
      <c r="H245">
        <v>0.371</v>
      </c>
      <c r="I245">
        <v>0.67400000000000004</v>
      </c>
      <c r="J245">
        <v>9</v>
      </c>
      <c r="K245">
        <v>-3.72</v>
      </c>
      <c r="L245">
        <v>1</v>
      </c>
      <c r="M245">
        <v>4.8800000000000003E-2</v>
      </c>
      <c r="N245">
        <v>0.16900000000000001</v>
      </c>
      <c r="O245">
        <v>0</v>
      </c>
      <c r="P245">
        <v>8.8900000000000007E-2</v>
      </c>
      <c r="Q245">
        <v>0.92</v>
      </c>
      <c r="R245">
        <v>87.602999999999994</v>
      </c>
      <c r="S245">
        <v>4</v>
      </c>
      <c r="T245" t="s">
        <v>4</v>
      </c>
    </row>
    <row r="246" spans="1:20" x14ac:dyDescent="0.3">
      <c r="A246" t="s">
        <v>738</v>
      </c>
      <c r="B246" t="s">
        <v>184</v>
      </c>
      <c r="C246" t="s">
        <v>274</v>
      </c>
      <c r="D246" t="s">
        <v>739</v>
      </c>
      <c r="E246">
        <v>63</v>
      </c>
      <c r="F246">
        <v>218573</v>
      </c>
      <c r="G246" t="b">
        <v>0</v>
      </c>
      <c r="H246">
        <v>0.73099999999999998</v>
      </c>
      <c r="I246">
        <v>0.57199999999999995</v>
      </c>
      <c r="J246">
        <v>6</v>
      </c>
      <c r="K246">
        <v>-7.8890000000000002</v>
      </c>
      <c r="L246">
        <v>0</v>
      </c>
      <c r="M246">
        <v>4.4499999999999998E-2</v>
      </c>
      <c r="N246">
        <v>0.105</v>
      </c>
      <c r="O246">
        <v>1.2E-4</v>
      </c>
      <c r="P246">
        <v>0.13300000000000001</v>
      </c>
      <c r="Q246">
        <v>0.94699999999999995</v>
      </c>
      <c r="R246">
        <v>154.03800000000001</v>
      </c>
      <c r="S246">
        <v>4</v>
      </c>
      <c r="T246" t="s">
        <v>4</v>
      </c>
    </row>
    <row r="247" spans="1:20" x14ac:dyDescent="0.3">
      <c r="A247" t="s">
        <v>740</v>
      </c>
      <c r="B247" t="s">
        <v>741</v>
      </c>
      <c r="C247" t="s">
        <v>742</v>
      </c>
      <c r="D247" t="s">
        <v>743</v>
      </c>
      <c r="E247">
        <v>53</v>
      </c>
      <c r="F247">
        <v>149160</v>
      </c>
      <c r="G247" t="b">
        <v>0</v>
      </c>
      <c r="H247">
        <v>0.69</v>
      </c>
      <c r="I247">
        <v>0.33400000000000002</v>
      </c>
      <c r="J247">
        <v>9</v>
      </c>
      <c r="K247">
        <v>-5.6260000000000003</v>
      </c>
      <c r="L247">
        <v>1</v>
      </c>
      <c r="M247">
        <v>6.6000000000000003E-2</v>
      </c>
      <c r="N247">
        <v>0.94699999999999995</v>
      </c>
      <c r="O247">
        <v>0</v>
      </c>
      <c r="P247">
        <v>8.9499999999999996E-2</v>
      </c>
      <c r="Q247">
        <v>0.8</v>
      </c>
      <c r="R247">
        <v>74.721000000000004</v>
      </c>
      <c r="S247">
        <v>4</v>
      </c>
      <c r="T247" t="s">
        <v>4</v>
      </c>
    </row>
    <row r="248" spans="1:20" x14ac:dyDescent="0.3">
      <c r="A248" t="s">
        <v>744</v>
      </c>
      <c r="B248" t="s">
        <v>745</v>
      </c>
      <c r="C248" t="s">
        <v>746</v>
      </c>
      <c r="D248" t="s">
        <v>747</v>
      </c>
      <c r="E248">
        <v>0</v>
      </c>
      <c r="F248">
        <v>183293</v>
      </c>
      <c r="G248" t="b">
        <v>0</v>
      </c>
      <c r="H248">
        <v>0.59399999999999997</v>
      </c>
      <c r="I248">
        <v>0.307</v>
      </c>
      <c r="J248">
        <v>10</v>
      </c>
      <c r="K248">
        <v>-13.061999999999999</v>
      </c>
      <c r="L248">
        <v>1</v>
      </c>
      <c r="M248">
        <v>2.4899999999999999E-2</v>
      </c>
      <c r="N248">
        <v>0.79600000000000004</v>
      </c>
      <c r="O248">
        <v>4.1399999999999999E-2</v>
      </c>
      <c r="P248">
        <v>0.15</v>
      </c>
      <c r="Q248">
        <v>0.24</v>
      </c>
      <c r="R248">
        <v>94.025999999999996</v>
      </c>
      <c r="S248">
        <v>3</v>
      </c>
      <c r="T248" t="s">
        <v>4</v>
      </c>
    </row>
    <row r="249" spans="1:20" x14ac:dyDescent="0.3">
      <c r="A249" t="s">
        <v>748</v>
      </c>
      <c r="B249" t="s">
        <v>749</v>
      </c>
      <c r="C249" t="s">
        <v>750</v>
      </c>
      <c r="D249" t="s">
        <v>751</v>
      </c>
      <c r="E249">
        <v>36</v>
      </c>
      <c r="F249">
        <v>169266</v>
      </c>
      <c r="G249" t="b">
        <v>1</v>
      </c>
      <c r="H249">
        <v>0.60799999999999998</v>
      </c>
      <c r="I249">
        <v>0.91700000000000004</v>
      </c>
      <c r="J249">
        <v>11</v>
      </c>
      <c r="K249">
        <v>-5.3410000000000002</v>
      </c>
      <c r="L249">
        <v>1</v>
      </c>
      <c r="M249">
        <v>6.0100000000000001E-2</v>
      </c>
      <c r="N249">
        <v>0.23599999999999999</v>
      </c>
      <c r="O249">
        <v>0</v>
      </c>
      <c r="P249">
        <v>0.13</v>
      </c>
      <c r="Q249">
        <v>0.93600000000000005</v>
      </c>
      <c r="R249">
        <v>117.875</v>
      </c>
      <c r="S249">
        <v>4</v>
      </c>
      <c r="T249" t="s">
        <v>4</v>
      </c>
    </row>
    <row r="250" spans="1:20" x14ac:dyDescent="0.3">
      <c r="A250" t="s">
        <v>752</v>
      </c>
      <c r="B250" t="s">
        <v>753</v>
      </c>
      <c r="C250" t="s">
        <v>754</v>
      </c>
      <c r="D250" t="s">
        <v>755</v>
      </c>
      <c r="E250">
        <v>0</v>
      </c>
      <c r="F250">
        <v>272640</v>
      </c>
      <c r="G250" t="b">
        <v>0</v>
      </c>
      <c r="H250">
        <v>0.68700000000000006</v>
      </c>
      <c r="I250">
        <v>0.49399999999999999</v>
      </c>
      <c r="J250">
        <v>1</v>
      </c>
      <c r="K250">
        <v>-9.4209999999999994</v>
      </c>
      <c r="L250">
        <v>1</v>
      </c>
      <c r="M250">
        <v>5.0500000000000003E-2</v>
      </c>
      <c r="N250">
        <v>0.32400000000000001</v>
      </c>
      <c r="O250" s="9" t="s">
        <v>756</v>
      </c>
      <c r="P250">
        <v>8.6699999999999999E-2</v>
      </c>
      <c r="Q250">
        <v>0.621</v>
      </c>
      <c r="R250">
        <v>93.269000000000005</v>
      </c>
      <c r="S250">
        <v>1</v>
      </c>
      <c r="T250" t="s">
        <v>4</v>
      </c>
    </row>
    <row r="251" spans="1:20" x14ac:dyDescent="0.3">
      <c r="A251" t="s">
        <v>757</v>
      </c>
      <c r="B251" t="s">
        <v>753</v>
      </c>
      <c r="C251" t="s">
        <v>758</v>
      </c>
      <c r="D251" t="s">
        <v>755</v>
      </c>
      <c r="E251">
        <v>0</v>
      </c>
      <c r="F251">
        <v>272640</v>
      </c>
      <c r="G251" t="b">
        <v>0</v>
      </c>
      <c r="H251">
        <v>0.68700000000000006</v>
      </c>
      <c r="I251">
        <v>0.49399999999999999</v>
      </c>
      <c r="J251">
        <v>1</v>
      </c>
      <c r="K251">
        <v>-9.4209999999999994</v>
      </c>
      <c r="L251">
        <v>1</v>
      </c>
      <c r="M251">
        <v>5.0500000000000003E-2</v>
      </c>
      <c r="N251">
        <v>0.32400000000000001</v>
      </c>
      <c r="O251" s="9" t="s">
        <v>756</v>
      </c>
      <c r="P251">
        <v>8.6699999999999999E-2</v>
      </c>
      <c r="Q251">
        <v>0.621</v>
      </c>
      <c r="R251">
        <v>93.269000000000005</v>
      </c>
      <c r="S251">
        <v>1</v>
      </c>
      <c r="T251" t="s">
        <v>4</v>
      </c>
    </row>
    <row r="252" spans="1:20" x14ac:dyDescent="0.3">
      <c r="A252" t="s">
        <v>759</v>
      </c>
      <c r="B252" t="s">
        <v>332</v>
      </c>
      <c r="C252" t="s">
        <v>760</v>
      </c>
      <c r="D252" t="s">
        <v>761</v>
      </c>
      <c r="E252">
        <v>55</v>
      </c>
      <c r="F252">
        <v>176509</v>
      </c>
      <c r="G252" t="b">
        <v>0</v>
      </c>
      <c r="H252">
        <v>0.65200000000000002</v>
      </c>
      <c r="I252">
        <v>0.15</v>
      </c>
      <c r="J252">
        <v>5</v>
      </c>
      <c r="K252">
        <v>-12.699</v>
      </c>
      <c r="L252">
        <v>1</v>
      </c>
      <c r="M252">
        <v>3.6299999999999999E-2</v>
      </c>
      <c r="N252">
        <v>0.92300000000000004</v>
      </c>
      <c r="O252">
        <v>0</v>
      </c>
      <c r="P252">
        <v>0.10199999999999999</v>
      </c>
      <c r="Q252">
        <v>0.36099999999999999</v>
      </c>
      <c r="R252">
        <v>104.018</v>
      </c>
      <c r="S252">
        <v>3</v>
      </c>
      <c r="T252" t="s">
        <v>4</v>
      </c>
    </row>
    <row r="253" spans="1:20" x14ac:dyDescent="0.3">
      <c r="A253" t="s">
        <v>762</v>
      </c>
      <c r="B253" t="s">
        <v>332</v>
      </c>
      <c r="C253" t="s">
        <v>763</v>
      </c>
      <c r="D253" t="s">
        <v>764</v>
      </c>
      <c r="E253">
        <v>57</v>
      </c>
      <c r="F253">
        <v>179886</v>
      </c>
      <c r="G253" t="b">
        <v>0</v>
      </c>
      <c r="H253">
        <v>0.76500000000000001</v>
      </c>
      <c r="I253">
        <v>0.24099999999999999</v>
      </c>
      <c r="J253">
        <v>4</v>
      </c>
      <c r="K253">
        <v>-8.8650000000000002</v>
      </c>
      <c r="L253">
        <v>1</v>
      </c>
      <c r="M253">
        <v>3.73E-2</v>
      </c>
      <c r="N253">
        <v>0.873</v>
      </c>
      <c r="O253">
        <v>0</v>
      </c>
      <c r="P253">
        <v>0.111</v>
      </c>
      <c r="Q253">
        <v>0.182</v>
      </c>
      <c r="R253">
        <v>123.95</v>
      </c>
      <c r="S253">
        <v>4</v>
      </c>
      <c r="T253" t="s">
        <v>4</v>
      </c>
    </row>
    <row r="254" spans="1:20" x14ac:dyDescent="0.3">
      <c r="A254" t="s">
        <v>765</v>
      </c>
      <c r="B254" t="s">
        <v>172</v>
      </c>
      <c r="C254" t="s">
        <v>766</v>
      </c>
      <c r="D254" t="s">
        <v>767</v>
      </c>
      <c r="E254">
        <v>54</v>
      </c>
      <c r="F254">
        <v>184200</v>
      </c>
      <c r="G254" t="b">
        <v>0</v>
      </c>
      <c r="H254">
        <v>0.58899999999999997</v>
      </c>
      <c r="I254">
        <v>0.249</v>
      </c>
      <c r="J254">
        <v>2</v>
      </c>
      <c r="K254">
        <v>-10.086</v>
      </c>
      <c r="L254">
        <v>1</v>
      </c>
      <c r="M254">
        <v>3.2899999999999999E-2</v>
      </c>
      <c r="N254">
        <v>0.71699999999999997</v>
      </c>
      <c r="O254">
        <v>0</v>
      </c>
      <c r="P254">
        <v>0.106</v>
      </c>
      <c r="Q254">
        <v>0.36299999999999999</v>
      </c>
      <c r="R254">
        <v>150.096</v>
      </c>
      <c r="S254">
        <v>3</v>
      </c>
      <c r="T254" t="s">
        <v>4</v>
      </c>
    </row>
    <row r="255" spans="1:20" x14ac:dyDescent="0.3">
      <c r="A255" t="s">
        <v>768</v>
      </c>
      <c r="B255" t="s">
        <v>160</v>
      </c>
      <c r="C255" t="s">
        <v>306</v>
      </c>
      <c r="D255" t="s">
        <v>769</v>
      </c>
      <c r="E255">
        <v>44</v>
      </c>
      <c r="F255">
        <v>447306</v>
      </c>
      <c r="G255" t="b">
        <v>0</v>
      </c>
      <c r="H255">
        <v>0.58799999999999997</v>
      </c>
      <c r="I255">
        <v>0.60399999999999998</v>
      </c>
      <c r="J255">
        <v>9</v>
      </c>
      <c r="K255">
        <v>-7.6020000000000003</v>
      </c>
      <c r="L255">
        <v>1</v>
      </c>
      <c r="M255">
        <v>2.4E-2</v>
      </c>
      <c r="N255">
        <v>0.34300000000000003</v>
      </c>
      <c r="O255" s="9" t="s">
        <v>770</v>
      </c>
      <c r="P255">
        <v>0.252</v>
      </c>
      <c r="Q255">
        <v>0.35099999999999998</v>
      </c>
      <c r="R255">
        <v>92.02</v>
      </c>
      <c r="S255">
        <v>4</v>
      </c>
      <c r="T255" t="s">
        <v>4</v>
      </c>
    </row>
    <row r="256" spans="1:20" x14ac:dyDescent="0.3">
      <c r="A256" t="s">
        <v>771</v>
      </c>
      <c r="B256" t="s">
        <v>772</v>
      </c>
      <c r="C256" t="s">
        <v>773</v>
      </c>
      <c r="D256" t="s">
        <v>774</v>
      </c>
      <c r="E256">
        <v>51</v>
      </c>
      <c r="F256">
        <v>108346</v>
      </c>
      <c r="G256" t="b">
        <v>0</v>
      </c>
      <c r="H256">
        <v>0.73499999999999999</v>
      </c>
      <c r="I256">
        <v>0.20300000000000001</v>
      </c>
      <c r="J256">
        <v>9</v>
      </c>
      <c r="K256">
        <v>-13.237</v>
      </c>
      <c r="L256">
        <v>0</v>
      </c>
      <c r="M256">
        <v>5.3900000000000003E-2</v>
      </c>
      <c r="N256">
        <v>0.85399999999999998</v>
      </c>
      <c r="O256">
        <v>1.64E-3</v>
      </c>
      <c r="P256">
        <v>0.105</v>
      </c>
      <c r="Q256">
        <v>0.47899999999999998</v>
      </c>
      <c r="R256">
        <v>113.913</v>
      </c>
      <c r="S256">
        <v>4</v>
      </c>
      <c r="T256" t="s">
        <v>4</v>
      </c>
    </row>
    <row r="257" spans="1:20" x14ac:dyDescent="0.3">
      <c r="A257" t="s">
        <v>775</v>
      </c>
      <c r="B257" t="s">
        <v>644</v>
      </c>
      <c r="C257" t="s">
        <v>776</v>
      </c>
      <c r="D257" t="s">
        <v>776</v>
      </c>
      <c r="E257">
        <v>42</v>
      </c>
      <c r="F257">
        <v>160768</v>
      </c>
      <c r="G257" t="b">
        <v>0</v>
      </c>
      <c r="H257">
        <v>0.65500000000000003</v>
      </c>
      <c r="I257">
        <v>0.14699999999999999</v>
      </c>
      <c r="J257">
        <v>8</v>
      </c>
      <c r="K257">
        <v>-14.409000000000001</v>
      </c>
      <c r="L257">
        <v>1</v>
      </c>
      <c r="M257">
        <v>3.7100000000000001E-2</v>
      </c>
      <c r="N257">
        <v>0.88</v>
      </c>
      <c r="O257">
        <v>0</v>
      </c>
      <c r="P257">
        <v>0.26600000000000001</v>
      </c>
      <c r="Q257">
        <v>0.32800000000000001</v>
      </c>
      <c r="R257">
        <v>116.10299999999999</v>
      </c>
      <c r="S257">
        <v>4</v>
      </c>
      <c r="T257" t="s">
        <v>4</v>
      </c>
    </row>
    <row r="258" spans="1:20" x14ac:dyDescent="0.3">
      <c r="A258" t="s">
        <v>777</v>
      </c>
      <c r="B258" t="s">
        <v>630</v>
      </c>
      <c r="C258" t="s">
        <v>778</v>
      </c>
      <c r="D258" t="s">
        <v>779</v>
      </c>
      <c r="E258">
        <v>47</v>
      </c>
      <c r="F258">
        <v>304320</v>
      </c>
      <c r="G258" t="b">
        <v>0</v>
      </c>
      <c r="H258">
        <v>0.36299999999999999</v>
      </c>
      <c r="I258">
        <v>0.81899999999999995</v>
      </c>
      <c r="J258">
        <v>7</v>
      </c>
      <c r="K258">
        <v>-3.1280000000000001</v>
      </c>
      <c r="L258">
        <v>1</v>
      </c>
      <c r="M258">
        <v>6.3399999999999998E-2</v>
      </c>
      <c r="N258">
        <v>5.91E-2</v>
      </c>
      <c r="O258">
        <v>0</v>
      </c>
      <c r="P258">
        <v>9.8799999999999999E-2</v>
      </c>
      <c r="Q258">
        <v>0.46800000000000003</v>
      </c>
      <c r="R258">
        <v>122.527</v>
      </c>
      <c r="S258">
        <v>4</v>
      </c>
      <c r="T258" t="s">
        <v>4</v>
      </c>
    </row>
    <row r="259" spans="1:20" x14ac:dyDescent="0.3">
      <c r="A259" t="s">
        <v>780</v>
      </c>
      <c r="B259" t="s">
        <v>781</v>
      </c>
      <c r="C259" t="s">
        <v>782</v>
      </c>
      <c r="D259" t="s">
        <v>782</v>
      </c>
      <c r="E259">
        <v>54</v>
      </c>
      <c r="F259">
        <v>201508</v>
      </c>
      <c r="G259" t="b">
        <v>0</v>
      </c>
      <c r="H259">
        <v>0.47299999999999998</v>
      </c>
      <c r="I259">
        <v>0.26300000000000001</v>
      </c>
      <c r="J259">
        <v>9</v>
      </c>
      <c r="K259">
        <v>-8.609</v>
      </c>
      <c r="L259">
        <v>1</v>
      </c>
      <c r="M259">
        <v>3.3000000000000002E-2</v>
      </c>
      <c r="N259">
        <v>0.81399999999999995</v>
      </c>
      <c r="O259">
        <v>0</v>
      </c>
      <c r="P259">
        <v>0.14199999999999999</v>
      </c>
      <c r="Q259">
        <v>0.315</v>
      </c>
      <c r="R259">
        <v>87.144999999999996</v>
      </c>
      <c r="S259">
        <v>4</v>
      </c>
      <c r="T259" t="s">
        <v>4</v>
      </c>
    </row>
    <row r="260" spans="1:20" x14ac:dyDescent="0.3">
      <c r="A260" t="s">
        <v>783</v>
      </c>
      <c r="B260" t="s">
        <v>40</v>
      </c>
      <c r="C260" t="s">
        <v>784</v>
      </c>
      <c r="D260" t="s">
        <v>784</v>
      </c>
      <c r="E260">
        <v>73</v>
      </c>
      <c r="F260">
        <v>241132</v>
      </c>
      <c r="G260" t="b">
        <v>0</v>
      </c>
      <c r="H260">
        <v>0.67600000000000005</v>
      </c>
      <c r="I260">
        <v>0.76800000000000002</v>
      </c>
      <c r="J260">
        <v>5</v>
      </c>
      <c r="K260">
        <v>-5.6950000000000003</v>
      </c>
      <c r="L260">
        <v>0</v>
      </c>
      <c r="M260">
        <v>2.9399999999999999E-2</v>
      </c>
      <c r="N260">
        <v>0.14899999999999999</v>
      </c>
      <c r="O260">
        <v>1.47E-3</v>
      </c>
      <c r="P260">
        <v>0.34499999999999997</v>
      </c>
      <c r="Q260">
        <v>0.49299999999999999</v>
      </c>
      <c r="R260">
        <v>105.999</v>
      </c>
      <c r="S260">
        <v>4</v>
      </c>
      <c r="T260" t="s">
        <v>4</v>
      </c>
    </row>
    <row r="261" spans="1:20" x14ac:dyDescent="0.3">
      <c r="A261" t="s">
        <v>785</v>
      </c>
      <c r="B261" t="s">
        <v>319</v>
      </c>
      <c r="C261" t="s">
        <v>77</v>
      </c>
      <c r="D261" t="s">
        <v>786</v>
      </c>
      <c r="E261">
        <v>56</v>
      </c>
      <c r="F261">
        <v>263710</v>
      </c>
      <c r="G261" t="b">
        <v>0</v>
      </c>
      <c r="H261">
        <v>0.41</v>
      </c>
      <c r="I261">
        <v>0.221</v>
      </c>
      <c r="J261">
        <v>5</v>
      </c>
      <c r="K261">
        <v>-11.673</v>
      </c>
      <c r="L261">
        <v>1</v>
      </c>
      <c r="M261">
        <v>3.15E-2</v>
      </c>
      <c r="N261">
        <v>0.76800000000000002</v>
      </c>
      <c r="O261">
        <v>0</v>
      </c>
      <c r="P261">
        <v>0.106</v>
      </c>
      <c r="Q261">
        <v>0.22800000000000001</v>
      </c>
      <c r="R261">
        <v>139.529</v>
      </c>
      <c r="S261">
        <v>3</v>
      </c>
      <c r="T261" t="s">
        <v>4</v>
      </c>
    </row>
    <row r="262" spans="1:20" x14ac:dyDescent="0.3">
      <c r="A262" t="s">
        <v>787</v>
      </c>
      <c r="B262" t="s">
        <v>617</v>
      </c>
      <c r="C262" t="s">
        <v>788</v>
      </c>
      <c r="D262" t="s">
        <v>788</v>
      </c>
      <c r="E262">
        <v>56</v>
      </c>
      <c r="F262">
        <v>246345</v>
      </c>
      <c r="G262" t="b">
        <v>0</v>
      </c>
      <c r="H262">
        <v>0.439</v>
      </c>
      <c r="I262">
        <v>0.217</v>
      </c>
      <c r="J262">
        <v>2</v>
      </c>
      <c r="K262">
        <v>-13.166</v>
      </c>
      <c r="L262">
        <v>1</v>
      </c>
      <c r="M262">
        <v>4.1300000000000003E-2</v>
      </c>
      <c r="N262">
        <v>0.93300000000000005</v>
      </c>
      <c r="O262">
        <v>0</v>
      </c>
      <c r="P262">
        <v>0.126</v>
      </c>
      <c r="Q262">
        <v>0.373</v>
      </c>
      <c r="R262">
        <v>144.41300000000001</v>
      </c>
      <c r="S262">
        <v>4</v>
      </c>
      <c r="T262" t="s">
        <v>4</v>
      </c>
    </row>
    <row r="263" spans="1:20" x14ac:dyDescent="0.3">
      <c r="A263" t="s">
        <v>789</v>
      </c>
      <c r="B263" t="s">
        <v>30</v>
      </c>
      <c r="C263" t="s">
        <v>790</v>
      </c>
      <c r="D263" t="s">
        <v>791</v>
      </c>
      <c r="E263">
        <v>59</v>
      </c>
      <c r="F263">
        <v>257173</v>
      </c>
      <c r="G263" t="b">
        <v>0</v>
      </c>
      <c r="H263">
        <v>0.58199999999999996</v>
      </c>
      <c r="I263">
        <v>0.34699999999999998</v>
      </c>
      <c r="J263">
        <v>7</v>
      </c>
      <c r="K263">
        <v>-14.769</v>
      </c>
      <c r="L263">
        <v>1</v>
      </c>
      <c r="M263">
        <v>3.0499999999999999E-2</v>
      </c>
      <c r="N263">
        <v>0.317</v>
      </c>
      <c r="O263">
        <v>6.7799999999999996E-3</v>
      </c>
      <c r="P263">
        <v>0.111</v>
      </c>
      <c r="Q263">
        <v>7.9699999999999993E-2</v>
      </c>
      <c r="R263">
        <v>97.956999999999994</v>
      </c>
      <c r="S263">
        <v>4</v>
      </c>
      <c r="T263" t="s">
        <v>4</v>
      </c>
    </row>
    <row r="264" spans="1:20" x14ac:dyDescent="0.3">
      <c r="A264" t="s">
        <v>792</v>
      </c>
      <c r="B264" t="s">
        <v>793</v>
      </c>
      <c r="C264" t="s">
        <v>794</v>
      </c>
      <c r="D264" t="s">
        <v>795</v>
      </c>
      <c r="E264">
        <v>57</v>
      </c>
      <c r="F264">
        <v>159012</v>
      </c>
      <c r="G264" t="b">
        <v>0</v>
      </c>
      <c r="H264">
        <v>0.42599999999999999</v>
      </c>
      <c r="I264">
        <v>0.127</v>
      </c>
      <c r="J264">
        <v>6</v>
      </c>
      <c r="K264">
        <v>-13.287000000000001</v>
      </c>
      <c r="L264">
        <v>1</v>
      </c>
      <c r="M264">
        <v>6.4799999999999996E-2</v>
      </c>
      <c r="N264">
        <v>0.86299999999999999</v>
      </c>
      <c r="O264" s="9" t="s">
        <v>796</v>
      </c>
      <c r="P264">
        <v>9.9299999999999999E-2</v>
      </c>
      <c r="Q264">
        <v>0.14899999999999999</v>
      </c>
      <c r="R264">
        <v>62.534999999999997</v>
      </c>
      <c r="S264">
        <v>5</v>
      </c>
      <c r="T264" t="s">
        <v>4</v>
      </c>
    </row>
    <row r="265" spans="1:20" x14ac:dyDescent="0.3">
      <c r="A265" t="s">
        <v>797</v>
      </c>
      <c r="B265" t="s">
        <v>210</v>
      </c>
      <c r="C265" t="s">
        <v>798</v>
      </c>
      <c r="D265" t="s">
        <v>798</v>
      </c>
      <c r="E265">
        <v>56</v>
      </c>
      <c r="F265">
        <v>178546</v>
      </c>
      <c r="G265" t="b">
        <v>0</v>
      </c>
      <c r="H265">
        <v>0.69599999999999995</v>
      </c>
      <c r="I265">
        <v>0.26100000000000001</v>
      </c>
      <c r="J265">
        <v>9</v>
      </c>
      <c r="K265">
        <v>-12.106999999999999</v>
      </c>
      <c r="L265">
        <v>0</v>
      </c>
      <c r="M265">
        <v>3.61E-2</v>
      </c>
      <c r="N265">
        <v>0.73699999999999999</v>
      </c>
      <c r="O265" s="9" t="s">
        <v>799</v>
      </c>
      <c r="P265">
        <v>0.11</v>
      </c>
      <c r="Q265">
        <v>0.36099999999999999</v>
      </c>
      <c r="R265">
        <v>136.053</v>
      </c>
      <c r="S265">
        <v>3</v>
      </c>
      <c r="T265" t="s">
        <v>4</v>
      </c>
    </row>
    <row r="266" spans="1:20" x14ac:dyDescent="0.3">
      <c r="A266" t="s">
        <v>800</v>
      </c>
      <c r="B266" t="s">
        <v>801</v>
      </c>
      <c r="C266" t="s">
        <v>802</v>
      </c>
      <c r="D266" t="s">
        <v>803</v>
      </c>
      <c r="E266">
        <v>57</v>
      </c>
      <c r="F266">
        <v>268800</v>
      </c>
      <c r="G266" t="b">
        <v>0</v>
      </c>
      <c r="H266">
        <v>0.54900000000000004</v>
      </c>
      <c r="I266">
        <v>0.24</v>
      </c>
      <c r="J266">
        <v>0</v>
      </c>
      <c r="K266">
        <v>-7.7779999999999996</v>
      </c>
      <c r="L266">
        <v>1</v>
      </c>
      <c r="M266">
        <v>3.3799999999999997E-2</v>
      </c>
      <c r="N266">
        <v>0.94699999999999995</v>
      </c>
      <c r="O266">
        <v>0</v>
      </c>
      <c r="P266">
        <v>0.106</v>
      </c>
      <c r="Q266">
        <v>0.16700000000000001</v>
      </c>
      <c r="R266">
        <v>119.58</v>
      </c>
      <c r="S266">
        <v>4</v>
      </c>
      <c r="T266" t="s">
        <v>4</v>
      </c>
    </row>
    <row r="267" spans="1:20" x14ac:dyDescent="0.3">
      <c r="A267" t="s">
        <v>804</v>
      </c>
      <c r="B267" t="s">
        <v>805</v>
      </c>
      <c r="C267" t="s">
        <v>806</v>
      </c>
      <c r="D267" t="s">
        <v>806</v>
      </c>
      <c r="E267">
        <v>51</v>
      </c>
      <c r="F267">
        <v>197850</v>
      </c>
      <c r="G267" t="b">
        <v>0</v>
      </c>
      <c r="H267">
        <v>0.54100000000000004</v>
      </c>
      <c r="I267">
        <v>0.192</v>
      </c>
      <c r="J267">
        <v>0</v>
      </c>
      <c r="K267">
        <v>-13.994999999999999</v>
      </c>
      <c r="L267">
        <v>0</v>
      </c>
      <c r="M267">
        <v>2.8199999999999999E-2</v>
      </c>
      <c r="N267">
        <v>0.89300000000000002</v>
      </c>
      <c r="O267">
        <v>0</v>
      </c>
      <c r="P267">
        <v>0.193</v>
      </c>
      <c r="Q267">
        <v>0.317</v>
      </c>
      <c r="R267">
        <v>139.93799999999999</v>
      </c>
      <c r="S267">
        <v>4</v>
      </c>
      <c r="T267" t="s">
        <v>4</v>
      </c>
    </row>
    <row r="268" spans="1:20" x14ac:dyDescent="0.3">
      <c r="A268" t="s">
        <v>807</v>
      </c>
      <c r="B268" t="s">
        <v>411</v>
      </c>
      <c r="C268" t="s">
        <v>411</v>
      </c>
      <c r="D268" t="s">
        <v>808</v>
      </c>
      <c r="E268">
        <v>48</v>
      </c>
      <c r="F268">
        <v>222400</v>
      </c>
      <c r="G268" t="b">
        <v>0</v>
      </c>
      <c r="H268">
        <v>0.66200000000000003</v>
      </c>
      <c r="I268">
        <v>0.71099999999999997</v>
      </c>
      <c r="J268">
        <v>5</v>
      </c>
      <c r="K268">
        <v>-4.9240000000000004</v>
      </c>
      <c r="L268">
        <v>1</v>
      </c>
      <c r="M268">
        <v>2.7900000000000001E-2</v>
      </c>
      <c r="N268">
        <v>6.8599999999999994E-2</v>
      </c>
      <c r="O268" s="9" t="s">
        <v>68</v>
      </c>
      <c r="P268">
        <v>8.5000000000000006E-2</v>
      </c>
      <c r="Q268">
        <v>0.35199999999999998</v>
      </c>
      <c r="R268">
        <v>119.989</v>
      </c>
      <c r="S268">
        <v>4</v>
      </c>
      <c r="T268" t="s">
        <v>4</v>
      </c>
    </row>
    <row r="269" spans="1:20" x14ac:dyDescent="0.3">
      <c r="A269" t="s">
        <v>809</v>
      </c>
      <c r="B269" t="s">
        <v>14</v>
      </c>
      <c r="C269" t="s">
        <v>810</v>
      </c>
      <c r="D269" t="s">
        <v>810</v>
      </c>
      <c r="E269">
        <v>52</v>
      </c>
      <c r="F269">
        <v>142379</v>
      </c>
      <c r="G269" t="b">
        <v>0</v>
      </c>
      <c r="H269">
        <v>0.66500000000000004</v>
      </c>
      <c r="I269">
        <v>0.185</v>
      </c>
      <c r="J269">
        <v>1</v>
      </c>
      <c r="K269">
        <v>-13.852</v>
      </c>
      <c r="L269">
        <v>1</v>
      </c>
      <c r="M269">
        <v>3.8100000000000002E-2</v>
      </c>
      <c r="N269">
        <v>0.91300000000000003</v>
      </c>
      <c r="O269">
        <v>0</v>
      </c>
      <c r="P269">
        <v>0.33400000000000002</v>
      </c>
      <c r="Q269">
        <v>0.45800000000000002</v>
      </c>
      <c r="R269">
        <v>82.474000000000004</v>
      </c>
      <c r="S269">
        <v>4</v>
      </c>
      <c r="T269" t="s">
        <v>4</v>
      </c>
    </row>
    <row r="270" spans="1:20" x14ac:dyDescent="0.3">
      <c r="A270" t="s">
        <v>811</v>
      </c>
      <c r="B270" t="s">
        <v>497</v>
      </c>
      <c r="C270" t="s">
        <v>812</v>
      </c>
      <c r="D270" t="s">
        <v>812</v>
      </c>
      <c r="E270">
        <v>54</v>
      </c>
      <c r="F270">
        <v>194667</v>
      </c>
      <c r="G270" t="b">
        <v>0</v>
      </c>
      <c r="H270">
        <v>0.59099999999999997</v>
      </c>
      <c r="I270">
        <v>0.17499999999999999</v>
      </c>
      <c r="J270">
        <v>6</v>
      </c>
      <c r="K270">
        <v>-12.959</v>
      </c>
      <c r="L270">
        <v>1</v>
      </c>
      <c r="M270">
        <v>3.7999999999999999E-2</v>
      </c>
      <c r="N270">
        <v>0.92700000000000005</v>
      </c>
      <c r="O270">
        <v>0</v>
      </c>
      <c r="P270">
        <v>0.13300000000000001</v>
      </c>
      <c r="Q270">
        <v>0.35199999999999998</v>
      </c>
      <c r="R270">
        <v>139.90199999999999</v>
      </c>
      <c r="S270">
        <v>4</v>
      </c>
      <c r="T270" t="s">
        <v>4</v>
      </c>
    </row>
    <row r="271" spans="1:20" x14ac:dyDescent="0.3">
      <c r="A271" t="s">
        <v>813</v>
      </c>
      <c r="B271" t="s">
        <v>205</v>
      </c>
      <c r="C271" t="s">
        <v>814</v>
      </c>
      <c r="D271" t="s">
        <v>814</v>
      </c>
      <c r="E271">
        <v>55</v>
      </c>
      <c r="F271">
        <v>212400</v>
      </c>
      <c r="G271" t="b">
        <v>0</v>
      </c>
      <c r="H271">
        <v>0.48899999999999999</v>
      </c>
      <c r="I271">
        <v>0.183</v>
      </c>
      <c r="J271">
        <v>0</v>
      </c>
      <c r="K271">
        <v>-14.769</v>
      </c>
      <c r="L271">
        <v>1</v>
      </c>
      <c r="M271">
        <v>3.3000000000000002E-2</v>
      </c>
      <c r="N271">
        <v>0.90700000000000003</v>
      </c>
      <c r="O271" s="9" t="s">
        <v>815</v>
      </c>
      <c r="P271">
        <v>0.106</v>
      </c>
      <c r="Q271">
        <v>0.48599999999999999</v>
      </c>
      <c r="R271">
        <v>79.960999999999999</v>
      </c>
      <c r="S271">
        <v>4</v>
      </c>
      <c r="T271" t="s">
        <v>4</v>
      </c>
    </row>
    <row r="272" spans="1:20" x14ac:dyDescent="0.3">
      <c r="A272" t="s">
        <v>816</v>
      </c>
      <c r="B272" t="s">
        <v>63</v>
      </c>
      <c r="C272" t="s">
        <v>817</v>
      </c>
      <c r="D272" t="s">
        <v>817</v>
      </c>
      <c r="E272">
        <v>41</v>
      </c>
      <c r="F272">
        <v>196304</v>
      </c>
      <c r="G272" t="b">
        <v>0</v>
      </c>
      <c r="H272">
        <v>0.61799999999999999</v>
      </c>
      <c r="I272">
        <v>8.3000000000000004E-2</v>
      </c>
      <c r="J272">
        <v>4</v>
      </c>
      <c r="K272">
        <v>-23.664999999999999</v>
      </c>
      <c r="L272">
        <v>1</v>
      </c>
      <c r="M272">
        <v>5.7000000000000002E-2</v>
      </c>
      <c r="N272">
        <v>0.745</v>
      </c>
      <c r="O272">
        <v>1.2300000000000001E-4</v>
      </c>
      <c r="P272">
        <v>0.14599999999999999</v>
      </c>
      <c r="Q272">
        <v>0.59699999999999998</v>
      </c>
      <c r="R272">
        <v>90.864999999999995</v>
      </c>
      <c r="S272">
        <v>4</v>
      </c>
      <c r="T272" t="s">
        <v>4</v>
      </c>
    </row>
    <row r="273" spans="1:20" x14ac:dyDescent="0.3">
      <c r="A273" t="s">
        <v>818</v>
      </c>
      <c r="B273" t="s">
        <v>319</v>
      </c>
      <c r="C273" t="s">
        <v>343</v>
      </c>
      <c r="D273" t="s">
        <v>819</v>
      </c>
      <c r="E273">
        <v>49</v>
      </c>
      <c r="F273">
        <v>230868</v>
      </c>
      <c r="G273" t="b">
        <v>0</v>
      </c>
      <c r="H273">
        <v>0.66400000000000003</v>
      </c>
      <c r="I273">
        <v>0.31900000000000001</v>
      </c>
      <c r="J273">
        <v>0</v>
      </c>
      <c r="K273">
        <v>-8.1489999999999991</v>
      </c>
      <c r="L273">
        <v>0</v>
      </c>
      <c r="M273">
        <v>2.7099999999999999E-2</v>
      </c>
      <c r="N273">
        <v>0.86199999999999999</v>
      </c>
      <c r="O273">
        <v>0</v>
      </c>
      <c r="P273">
        <v>0.121</v>
      </c>
      <c r="Q273">
        <v>0.25800000000000001</v>
      </c>
      <c r="R273">
        <v>105.036</v>
      </c>
      <c r="S273">
        <v>4</v>
      </c>
      <c r="T273" t="s">
        <v>4</v>
      </c>
    </row>
    <row r="274" spans="1:20" x14ac:dyDescent="0.3">
      <c r="A274" t="s">
        <v>820</v>
      </c>
      <c r="B274" t="s">
        <v>63</v>
      </c>
      <c r="C274" t="s">
        <v>821</v>
      </c>
      <c r="D274" t="s">
        <v>821</v>
      </c>
      <c r="E274">
        <v>37</v>
      </c>
      <c r="F274">
        <v>186738</v>
      </c>
      <c r="G274" t="b">
        <v>0</v>
      </c>
      <c r="H274">
        <v>0.40799999999999997</v>
      </c>
      <c r="I274">
        <v>0.26600000000000001</v>
      </c>
      <c r="J274">
        <v>10</v>
      </c>
      <c r="K274">
        <v>-12.9</v>
      </c>
      <c r="L274">
        <v>0</v>
      </c>
      <c r="M274">
        <v>4.0399999999999998E-2</v>
      </c>
      <c r="N274">
        <v>0.875</v>
      </c>
      <c r="O274">
        <v>4.9799999999999996E-4</v>
      </c>
      <c r="P274">
        <v>0.104</v>
      </c>
      <c r="Q274">
        <v>0.35</v>
      </c>
      <c r="R274">
        <v>143.65100000000001</v>
      </c>
      <c r="S274">
        <v>4</v>
      </c>
      <c r="T274" t="s">
        <v>4</v>
      </c>
    </row>
    <row r="275" spans="1:20" x14ac:dyDescent="0.3">
      <c r="A275" t="s">
        <v>822</v>
      </c>
      <c r="B275" t="s">
        <v>14</v>
      </c>
      <c r="C275" t="s">
        <v>823</v>
      </c>
      <c r="D275" t="s">
        <v>823</v>
      </c>
      <c r="E275">
        <v>52</v>
      </c>
      <c r="F275">
        <v>193536</v>
      </c>
      <c r="G275" t="b">
        <v>0</v>
      </c>
      <c r="H275">
        <v>0.623</v>
      </c>
      <c r="I275">
        <v>0.13200000000000001</v>
      </c>
      <c r="J275">
        <v>0</v>
      </c>
      <c r="K275">
        <v>-13.667999999999999</v>
      </c>
      <c r="L275">
        <v>1</v>
      </c>
      <c r="M275">
        <v>3.5000000000000003E-2</v>
      </c>
      <c r="N275">
        <v>0.89300000000000002</v>
      </c>
      <c r="O275">
        <v>0</v>
      </c>
      <c r="P275">
        <v>0.217</v>
      </c>
      <c r="Q275">
        <v>0.26600000000000001</v>
      </c>
      <c r="R275">
        <v>82.105000000000004</v>
      </c>
      <c r="S275">
        <v>4</v>
      </c>
      <c r="T275" t="s">
        <v>4</v>
      </c>
    </row>
    <row r="276" spans="1:20" x14ac:dyDescent="0.3">
      <c r="A276" t="s">
        <v>824</v>
      </c>
      <c r="B276" t="s">
        <v>805</v>
      </c>
      <c r="C276" t="s">
        <v>825</v>
      </c>
      <c r="D276" t="s">
        <v>825</v>
      </c>
      <c r="E276">
        <v>58</v>
      </c>
      <c r="F276">
        <v>196819</v>
      </c>
      <c r="G276" t="b">
        <v>0</v>
      </c>
      <c r="H276">
        <v>0.49399999999999999</v>
      </c>
      <c r="I276">
        <v>0.214</v>
      </c>
      <c r="J276">
        <v>7</v>
      </c>
      <c r="K276">
        <v>-11.041</v>
      </c>
      <c r="L276">
        <v>1</v>
      </c>
      <c r="M276">
        <v>3.6299999999999999E-2</v>
      </c>
      <c r="N276">
        <v>0.92</v>
      </c>
      <c r="O276" s="9" t="s">
        <v>409</v>
      </c>
      <c r="P276">
        <v>0.107</v>
      </c>
      <c r="Q276">
        <v>0.35</v>
      </c>
      <c r="R276">
        <v>125.98099999999999</v>
      </c>
      <c r="S276">
        <v>3</v>
      </c>
      <c r="T276" t="s">
        <v>4</v>
      </c>
    </row>
    <row r="277" spans="1:20" x14ac:dyDescent="0.3">
      <c r="A277" t="s">
        <v>826</v>
      </c>
      <c r="B277" t="s">
        <v>827</v>
      </c>
      <c r="C277" t="s">
        <v>828</v>
      </c>
      <c r="D277" t="s">
        <v>829</v>
      </c>
      <c r="E277">
        <v>48</v>
      </c>
      <c r="F277">
        <v>201440</v>
      </c>
      <c r="G277" t="b">
        <v>0</v>
      </c>
      <c r="H277">
        <v>0.374</v>
      </c>
      <c r="I277">
        <v>0.183</v>
      </c>
      <c r="J277">
        <v>9</v>
      </c>
      <c r="K277">
        <v>-13.225</v>
      </c>
      <c r="L277">
        <v>1</v>
      </c>
      <c r="M277">
        <v>2.81E-2</v>
      </c>
      <c r="N277">
        <v>0.89700000000000002</v>
      </c>
      <c r="O277">
        <v>3.8699999999999998E-2</v>
      </c>
      <c r="P277">
        <v>0.109</v>
      </c>
      <c r="Q277">
        <v>0.13400000000000001</v>
      </c>
      <c r="R277">
        <v>82.042000000000002</v>
      </c>
      <c r="S277">
        <v>4</v>
      </c>
      <c r="T277" t="s">
        <v>4</v>
      </c>
    </row>
    <row r="278" spans="1:20" x14ac:dyDescent="0.3">
      <c r="A278" t="s">
        <v>830</v>
      </c>
      <c r="B278" t="s">
        <v>571</v>
      </c>
      <c r="C278" t="s">
        <v>831</v>
      </c>
      <c r="D278" t="s">
        <v>831</v>
      </c>
      <c r="E278">
        <v>56</v>
      </c>
      <c r="F278">
        <v>204998</v>
      </c>
      <c r="G278" t="b">
        <v>0</v>
      </c>
      <c r="H278">
        <v>0.55900000000000005</v>
      </c>
      <c r="I278">
        <v>0.45500000000000002</v>
      </c>
      <c r="J278">
        <v>5</v>
      </c>
      <c r="K278">
        <v>-8.9369999999999994</v>
      </c>
      <c r="L278">
        <v>1</v>
      </c>
      <c r="M278">
        <v>3.0599999999999999E-2</v>
      </c>
      <c r="N278">
        <v>0.42099999999999999</v>
      </c>
      <c r="O278" s="9" t="s">
        <v>832</v>
      </c>
      <c r="P278">
        <v>0.10299999999999999</v>
      </c>
      <c r="Q278">
        <v>0.39600000000000002</v>
      </c>
      <c r="R278">
        <v>159.98500000000001</v>
      </c>
      <c r="S278">
        <v>4</v>
      </c>
      <c r="T278" t="s">
        <v>4</v>
      </c>
    </row>
    <row r="279" spans="1:20" x14ac:dyDescent="0.3">
      <c r="A279" t="s">
        <v>833</v>
      </c>
      <c r="B279" t="s">
        <v>834</v>
      </c>
      <c r="C279" t="s">
        <v>835</v>
      </c>
      <c r="D279" t="s">
        <v>835</v>
      </c>
      <c r="E279">
        <v>46</v>
      </c>
      <c r="F279">
        <v>219093</v>
      </c>
      <c r="G279" t="b">
        <v>0</v>
      </c>
      <c r="H279">
        <v>0.64200000000000002</v>
      </c>
      <c r="I279">
        <v>0.40799999999999997</v>
      </c>
      <c r="J279">
        <v>10</v>
      </c>
      <c r="K279">
        <v>-8.1679999999999993</v>
      </c>
      <c r="L279">
        <v>1</v>
      </c>
      <c r="M279">
        <v>3.9600000000000003E-2</v>
      </c>
      <c r="N279">
        <v>0.72899999999999998</v>
      </c>
      <c r="O279">
        <v>0</v>
      </c>
      <c r="P279">
        <v>0.185</v>
      </c>
      <c r="Q279">
        <v>0.41099999999999998</v>
      </c>
      <c r="R279">
        <v>119.81</v>
      </c>
      <c r="S279">
        <v>4</v>
      </c>
      <c r="T279" t="s">
        <v>4</v>
      </c>
    </row>
    <row r="280" spans="1:20" x14ac:dyDescent="0.3">
      <c r="A280" t="s">
        <v>836</v>
      </c>
      <c r="B280" t="s">
        <v>837</v>
      </c>
      <c r="C280" t="s">
        <v>838</v>
      </c>
      <c r="D280" t="s">
        <v>838</v>
      </c>
      <c r="E280">
        <v>55</v>
      </c>
      <c r="F280">
        <v>171800</v>
      </c>
      <c r="G280" t="b">
        <v>0</v>
      </c>
      <c r="H280">
        <v>0.48</v>
      </c>
      <c r="I280">
        <v>0.61799999999999999</v>
      </c>
      <c r="J280">
        <v>2</v>
      </c>
      <c r="K280">
        <v>-7.335</v>
      </c>
      <c r="L280">
        <v>1</v>
      </c>
      <c r="M280">
        <v>5.0099999999999999E-2</v>
      </c>
      <c r="N280">
        <v>0.84399999999999997</v>
      </c>
      <c r="O280" s="9" t="s">
        <v>839</v>
      </c>
      <c r="P280">
        <v>0.32500000000000001</v>
      </c>
      <c r="Q280">
        <v>0.34399999999999997</v>
      </c>
      <c r="R280">
        <v>82.051000000000002</v>
      </c>
      <c r="S280">
        <v>4</v>
      </c>
      <c r="T280" t="s">
        <v>4</v>
      </c>
    </row>
    <row r="281" spans="1:20" x14ac:dyDescent="0.3">
      <c r="A281" t="s">
        <v>840</v>
      </c>
      <c r="B281" t="s">
        <v>14</v>
      </c>
      <c r="C281" t="s">
        <v>841</v>
      </c>
      <c r="D281" t="s">
        <v>842</v>
      </c>
      <c r="E281">
        <v>54</v>
      </c>
      <c r="F281">
        <v>211624</v>
      </c>
      <c r="G281" t="b">
        <v>0</v>
      </c>
      <c r="H281">
        <v>0.27100000000000002</v>
      </c>
      <c r="I281">
        <v>9.3700000000000006E-2</v>
      </c>
      <c r="J281">
        <v>0</v>
      </c>
      <c r="K281">
        <v>-15.035</v>
      </c>
      <c r="L281">
        <v>1</v>
      </c>
      <c r="M281">
        <v>3.6700000000000003E-2</v>
      </c>
      <c r="N281">
        <v>0.93899999999999995</v>
      </c>
      <c r="O281">
        <v>0</v>
      </c>
      <c r="P281">
        <v>0.108</v>
      </c>
      <c r="Q281">
        <v>0.14699999999999999</v>
      </c>
      <c r="R281">
        <v>164.721</v>
      </c>
      <c r="S281">
        <v>5</v>
      </c>
      <c r="T281" t="s">
        <v>4</v>
      </c>
    </row>
    <row r="282" spans="1:20" x14ac:dyDescent="0.3">
      <c r="A282" t="s">
        <v>843</v>
      </c>
      <c r="B282" t="s">
        <v>844</v>
      </c>
      <c r="C282" t="s">
        <v>844</v>
      </c>
      <c r="D282" t="s">
        <v>845</v>
      </c>
      <c r="E282">
        <v>57</v>
      </c>
      <c r="F282">
        <v>196240</v>
      </c>
      <c r="G282" t="b">
        <v>0</v>
      </c>
      <c r="H282">
        <v>0.59399999999999997</v>
      </c>
      <c r="I282">
        <v>0.69499999999999995</v>
      </c>
      <c r="J282">
        <v>8</v>
      </c>
      <c r="K282">
        <v>-8.8719999999999999</v>
      </c>
      <c r="L282">
        <v>1</v>
      </c>
      <c r="M282">
        <v>2.5899999999999999E-2</v>
      </c>
      <c r="N282">
        <v>0.19</v>
      </c>
      <c r="O282" s="9" t="s">
        <v>846</v>
      </c>
      <c r="P282">
        <v>0.11899999999999999</v>
      </c>
      <c r="Q282">
        <v>0.17199999999999999</v>
      </c>
      <c r="R282">
        <v>104.977</v>
      </c>
      <c r="S282">
        <v>4</v>
      </c>
      <c r="T282" t="s">
        <v>4</v>
      </c>
    </row>
    <row r="283" spans="1:20" x14ac:dyDescent="0.3">
      <c r="A283" t="s">
        <v>847</v>
      </c>
      <c r="B283" t="s">
        <v>19</v>
      </c>
      <c r="C283" t="s">
        <v>848</v>
      </c>
      <c r="D283" t="s">
        <v>848</v>
      </c>
      <c r="E283">
        <v>49</v>
      </c>
      <c r="F283">
        <v>199459</v>
      </c>
      <c r="G283" t="b">
        <v>0</v>
      </c>
      <c r="H283">
        <v>0.57399999999999995</v>
      </c>
      <c r="I283">
        <v>0.34399999999999997</v>
      </c>
      <c r="J283">
        <v>4</v>
      </c>
      <c r="K283">
        <v>-8.9949999999999992</v>
      </c>
      <c r="L283">
        <v>1</v>
      </c>
      <c r="M283">
        <v>3.4500000000000003E-2</v>
      </c>
      <c r="N283">
        <v>0.42099999999999999</v>
      </c>
      <c r="O283">
        <v>0</v>
      </c>
      <c r="P283">
        <v>8.0399999999999999E-2</v>
      </c>
      <c r="Q283">
        <v>9.8699999999999996E-2</v>
      </c>
      <c r="R283">
        <v>147.92400000000001</v>
      </c>
      <c r="S283">
        <v>3</v>
      </c>
      <c r="T283" t="s">
        <v>4</v>
      </c>
    </row>
    <row r="284" spans="1:20" x14ac:dyDescent="0.3">
      <c r="A284" t="s">
        <v>849</v>
      </c>
      <c r="B284" t="s">
        <v>850</v>
      </c>
      <c r="C284" t="s">
        <v>851</v>
      </c>
      <c r="D284" t="s">
        <v>852</v>
      </c>
      <c r="E284">
        <v>55</v>
      </c>
      <c r="F284">
        <v>169253</v>
      </c>
      <c r="G284" t="b">
        <v>0</v>
      </c>
      <c r="H284">
        <v>0.64700000000000002</v>
      </c>
      <c r="I284">
        <v>0.29799999999999999</v>
      </c>
      <c r="J284">
        <v>3</v>
      </c>
      <c r="K284">
        <v>-7.91</v>
      </c>
      <c r="L284">
        <v>1</v>
      </c>
      <c r="M284">
        <v>3.1099999999999999E-2</v>
      </c>
      <c r="N284">
        <v>0.86099999999999999</v>
      </c>
      <c r="O284">
        <v>0</v>
      </c>
      <c r="P284">
        <v>0.12</v>
      </c>
      <c r="Q284">
        <v>0.31</v>
      </c>
      <c r="R284">
        <v>106.244</v>
      </c>
      <c r="S284">
        <v>4</v>
      </c>
      <c r="T284" t="s">
        <v>4</v>
      </c>
    </row>
    <row r="285" spans="1:20" x14ac:dyDescent="0.3">
      <c r="A285" t="s">
        <v>853</v>
      </c>
      <c r="B285" t="s">
        <v>854</v>
      </c>
      <c r="C285" t="s">
        <v>855</v>
      </c>
      <c r="D285" t="s">
        <v>855</v>
      </c>
      <c r="E285">
        <v>51</v>
      </c>
      <c r="F285">
        <v>137066</v>
      </c>
      <c r="G285" t="b">
        <v>0</v>
      </c>
      <c r="H285">
        <v>0.48599999999999999</v>
      </c>
      <c r="I285">
        <v>3.9899999999999998E-2</v>
      </c>
      <c r="J285">
        <v>0</v>
      </c>
      <c r="K285">
        <v>-21.56</v>
      </c>
      <c r="L285">
        <v>1</v>
      </c>
      <c r="M285">
        <v>4.0500000000000001E-2</v>
      </c>
      <c r="N285">
        <v>0.95299999999999996</v>
      </c>
      <c r="O285" s="9" t="s">
        <v>856</v>
      </c>
      <c r="P285">
        <v>0.115</v>
      </c>
      <c r="Q285">
        <v>0.155</v>
      </c>
      <c r="R285">
        <v>95.066000000000003</v>
      </c>
      <c r="S285">
        <v>3</v>
      </c>
      <c r="T285" t="s">
        <v>4</v>
      </c>
    </row>
    <row r="286" spans="1:20" x14ac:dyDescent="0.3">
      <c r="A286" t="s">
        <v>857</v>
      </c>
      <c r="B286" t="s">
        <v>63</v>
      </c>
      <c r="C286" t="s">
        <v>858</v>
      </c>
      <c r="D286" t="s">
        <v>858</v>
      </c>
      <c r="E286">
        <v>39</v>
      </c>
      <c r="F286">
        <v>128798</v>
      </c>
      <c r="G286" t="b">
        <v>1</v>
      </c>
      <c r="H286">
        <v>0.73399999999999999</v>
      </c>
      <c r="I286">
        <v>4.2299999999999997E-2</v>
      </c>
      <c r="J286">
        <v>4</v>
      </c>
      <c r="K286">
        <v>-24.831</v>
      </c>
      <c r="L286">
        <v>1</v>
      </c>
      <c r="M286">
        <v>5.8299999999999998E-2</v>
      </c>
      <c r="N286">
        <v>0.91600000000000004</v>
      </c>
      <c r="O286">
        <v>0</v>
      </c>
      <c r="P286">
        <v>0.108</v>
      </c>
      <c r="Q286">
        <v>0.14000000000000001</v>
      </c>
      <c r="R286">
        <v>123.905</v>
      </c>
      <c r="S286">
        <v>4</v>
      </c>
      <c r="T286" t="s">
        <v>4</v>
      </c>
    </row>
    <row r="287" spans="1:20" x14ac:dyDescent="0.3">
      <c r="A287" t="s">
        <v>859</v>
      </c>
      <c r="B287" t="s">
        <v>380</v>
      </c>
      <c r="C287" t="s">
        <v>860</v>
      </c>
      <c r="D287" t="s">
        <v>861</v>
      </c>
      <c r="E287">
        <v>60</v>
      </c>
      <c r="F287">
        <v>257972</v>
      </c>
      <c r="G287" t="b">
        <v>0</v>
      </c>
      <c r="H287">
        <v>0.71099999999999997</v>
      </c>
      <c r="I287">
        <v>0.23100000000000001</v>
      </c>
      <c r="J287">
        <v>2</v>
      </c>
      <c r="K287">
        <v>-13.032999999999999</v>
      </c>
      <c r="L287">
        <v>1</v>
      </c>
      <c r="M287">
        <v>3.4599999999999999E-2</v>
      </c>
      <c r="N287">
        <v>0.83199999999999996</v>
      </c>
      <c r="O287">
        <v>1.15E-3</v>
      </c>
      <c r="P287">
        <v>0.105</v>
      </c>
      <c r="Q287">
        <v>0.186</v>
      </c>
      <c r="R287">
        <v>125.062</v>
      </c>
      <c r="S287">
        <v>4</v>
      </c>
      <c r="T287" t="s">
        <v>4</v>
      </c>
    </row>
    <row r="288" spans="1:20" x14ac:dyDescent="0.3">
      <c r="A288" t="s">
        <v>862</v>
      </c>
      <c r="B288" t="s">
        <v>411</v>
      </c>
      <c r="C288" t="s">
        <v>863</v>
      </c>
      <c r="D288" t="s">
        <v>864</v>
      </c>
      <c r="E288">
        <v>60</v>
      </c>
      <c r="F288">
        <v>146066</v>
      </c>
      <c r="G288" t="b">
        <v>0</v>
      </c>
      <c r="H288">
        <v>0.629</v>
      </c>
      <c r="I288">
        <v>0.17399999999999999</v>
      </c>
      <c r="J288">
        <v>6</v>
      </c>
      <c r="K288">
        <v>-9.6969999999999992</v>
      </c>
      <c r="L288">
        <v>1</v>
      </c>
      <c r="M288">
        <v>0.14099999999999999</v>
      </c>
      <c r="N288">
        <v>0.61599999999999999</v>
      </c>
      <c r="O288">
        <v>0</v>
      </c>
      <c r="P288">
        <v>0.11799999999999999</v>
      </c>
      <c r="Q288">
        <v>0.30499999999999999</v>
      </c>
      <c r="R288">
        <v>134.29499999999999</v>
      </c>
      <c r="S288">
        <v>1</v>
      </c>
      <c r="T288" t="s">
        <v>4</v>
      </c>
    </row>
    <row r="289" spans="1:20" x14ac:dyDescent="0.3">
      <c r="A289" t="s">
        <v>865</v>
      </c>
      <c r="B289" t="s">
        <v>866</v>
      </c>
      <c r="C289" t="s">
        <v>867</v>
      </c>
      <c r="D289" t="s">
        <v>868</v>
      </c>
      <c r="E289">
        <v>53</v>
      </c>
      <c r="F289">
        <v>172708</v>
      </c>
      <c r="G289" t="b">
        <v>0</v>
      </c>
      <c r="H289">
        <v>0.61499999999999999</v>
      </c>
      <c r="I289">
        <v>0.40600000000000003</v>
      </c>
      <c r="J289">
        <v>6</v>
      </c>
      <c r="K289">
        <v>-12.619</v>
      </c>
      <c r="L289">
        <v>1</v>
      </c>
      <c r="M289">
        <v>3.5799999999999998E-2</v>
      </c>
      <c r="N289">
        <v>0.54100000000000004</v>
      </c>
      <c r="O289" s="9" t="s">
        <v>869</v>
      </c>
      <c r="P289">
        <v>9.8199999999999996E-2</v>
      </c>
      <c r="Q289">
        <v>0.54100000000000004</v>
      </c>
      <c r="R289">
        <v>166.035</v>
      </c>
      <c r="S289">
        <v>4</v>
      </c>
      <c r="T289" t="s">
        <v>4</v>
      </c>
    </row>
    <row r="290" spans="1:20" x14ac:dyDescent="0.3">
      <c r="A290" t="s">
        <v>870</v>
      </c>
      <c r="B290" t="s">
        <v>871</v>
      </c>
      <c r="C290" t="s">
        <v>872</v>
      </c>
      <c r="D290" s="10">
        <v>0.53541666666666665</v>
      </c>
      <c r="E290">
        <v>64</v>
      </c>
      <c r="F290">
        <v>246280</v>
      </c>
      <c r="G290" t="b">
        <v>0</v>
      </c>
      <c r="H290">
        <v>0.503</v>
      </c>
      <c r="I290">
        <v>0.35699999999999998</v>
      </c>
      <c r="J290">
        <v>3</v>
      </c>
      <c r="K290">
        <v>-9.36</v>
      </c>
      <c r="L290">
        <v>1</v>
      </c>
      <c r="M290">
        <v>2.7199999999999998E-2</v>
      </c>
      <c r="N290">
        <v>0.72699999999999998</v>
      </c>
      <c r="O290">
        <v>0</v>
      </c>
      <c r="P290">
        <v>0.128</v>
      </c>
      <c r="Q290">
        <v>0.438</v>
      </c>
      <c r="R290">
        <v>136.13499999999999</v>
      </c>
      <c r="S290">
        <v>4</v>
      </c>
      <c r="T290" t="s">
        <v>4</v>
      </c>
    </row>
    <row r="291" spans="1:20" x14ac:dyDescent="0.3">
      <c r="A291" t="s">
        <v>873</v>
      </c>
      <c r="B291" t="s">
        <v>874</v>
      </c>
      <c r="C291" t="s">
        <v>875</v>
      </c>
      <c r="D291" t="s">
        <v>876</v>
      </c>
      <c r="E291">
        <v>34</v>
      </c>
      <c r="F291">
        <v>331984</v>
      </c>
      <c r="G291" t="b">
        <v>0</v>
      </c>
      <c r="H291">
        <v>0.45</v>
      </c>
      <c r="I291">
        <v>0.183</v>
      </c>
      <c r="J291">
        <v>2</v>
      </c>
      <c r="K291">
        <v>-9.0030000000000001</v>
      </c>
      <c r="L291">
        <v>1</v>
      </c>
      <c r="M291">
        <v>3.09E-2</v>
      </c>
      <c r="N291">
        <v>0.76200000000000001</v>
      </c>
      <c r="O291" s="9" t="s">
        <v>877</v>
      </c>
      <c r="P291">
        <v>0.11</v>
      </c>
      <c r="Q291">
        <v>0.219</v>
      </c>
      <c r="R291">
        <v>61.192</v>
      </c>
      <c r="S291">
        <v>4</v>
      </c>
      <c r="T291" t="s">
        <v>4</v>
      </c>
    </row>
    <row r="292" spans="1:20" x14ac:dyDescent="0.3">
      <c r="A292" t="s">
        <v>878</v>
      </c>
      <c r="B292" t="s">
        <v>879</v>
      </c>
      <c r="C292" t="s">
        <v>880</v>
      </c>
      <c r="D292" t="s">
        <v>881</v>
      </c>
      <c r="E292">
        <v>50</v>
      </c>
      <c r="F292">
        <v>216052</v>
      </c>
      <c r="G292" t="b">
        <v>0</v>
      </c>
      <c r="H292">
        <v>0.52500000000000002</v>
      </c>
      <c r="I292">
        <v>0.46100000000000002</v>
      </c>
      <c r="J292">
        <v>5</v>
      </c>
      <c r="K292">
        <v>-9.4890000000000008</v>
      </c>
      <c r="L292">
        <v>0</v>
      </c>
      <c r="M292">
        <v>8.7800000000000003E-2</v>
      </c>
      <c r="N292">
        <v>0.77500000000000002</v>
      </c>
      <c r="O292" s="9" t="s">
        <v>882</v>
      </c>
      <c r="P292">
        <v>0.36199999999999999</v>
      </c>
      <c r="Q292">
        <v>0.20200000000000001</v>
      </c>
      <c r="R292">
        <v>147.99700000000001</v>
      </c>
      <c r="S292">
        <v>4</v>
      </c>
      <c r="T292" t="s">
        <v>4</v>
      </c>
    </row>
    <row r="293" spans="1:20" x14ac:dyDescent="0.3">
      <c r="A293" t="s">
        <v>883</v>
      </c>
      <c r="B293" t="s">
        <v>398</v>
      </c>
      <c r="C293" t="s">
        <v>884</v>
      </c>
      <c r="D293" t="s">
        <v>884</v>
      </c>
      <c r="E293">
        <v>65</v>
      </c>
      <c r="F293">
        <v>243933</v>
      </c>
      <c r="G293" t="b">
        <v>0</v>
      </c>
      <c r="H293">
        <v>0.55500000000000005</v>
      </c>
      <c r="I293">
        <v>0.93400000000000005</v>
      </c>
      <c r="J293">
        <v>9</v>
      </c>
      <c r="K293">
        <v>-5.04</v>
      </c>
      <c r="L293">
        <v>1</v>
      </c>
      <c r="M293">
        <v>0.113</v>
      </c>
      <c r="N293">
        <v>2.6800000000000001E-3</v>
      </c>
      <c r="O293">
        <v>0</v>
      </c>
      <c r="P293">
        <v>0.122</v>
      </c>
      <c r="Q293">
        <v>0.42199999999999999</v>
      </c>
      <c r="R293">
        <v>144.874</v>
      </c>
      <c r="S293">
        <v>4</v>
      </c>
      <c r="T293" t="s">
        <v>4</v>
      </c>
    </row>
    <row r="294" spans="1:20" x14ac:dyDescent="0.3">
      <c r="A294" t="s">
        <v>885</v>
      </c>
      <c r="B294" t="s">
        <v>597</v>
      </c>
      <c r="C294" t="s">
        <v>598</v>
      </c>
      <c r="D294" t="s">
        <v>886</v>
      </c>
      <c r="E294">
        <v>56</v>
      </c>
      <c r="F294">
        <v>199786</v>
      </c>
      <c r="G294" t="b">
        <v>0</v>
      </c>
      <c r="H294">
        <v>0.67800000000000005</v>
      </c>
      <c r="I294">
        <v>0.36299999999999999</v>
      </c>
      <c r="J294">
        <v>11</v>
      </c>
      <c r="K294">
        <v>-10.9</v>
      </c>
      <c r="L294">
        <v>1</v>
      </c>
      <c r="M294">
        <v>3.1800000000000002E-2</v>
      </c>
      <c r="N294">
        <v>0.872</v>
      </c>
      <c r="O294">
        <v>1.01E-4</v>
      </c>
      <c r="P294">
        <v>7.9799999999999996E-2</v>
      </c>
      <c r="Q294">
        <v>0.54300000000000004</v>
      </c>
      <c r="R294">
        <v>75.004000000000005</v>
      </c>
      <c r="S294">
        <v>5</v>
      </c>
      <c r="T294" t="s">
        <v>4</v>
      </c>
    </row>
    <row r="295" spans="1:20" x14ac:dyDescent="0.3">
      <c r="A295" t="s">
        <v>887</v>
      </c>
      <c r="B295" t="s">
        <v>398</v>
      </c>
      <c r="C295" t="s">
        <v>884</v>
      </c>
      <c r="D295" t="s">
        <v>888</v>
      </c>
      <c r="E295">
        <v>57</v>
      </c>
      <c r="F295">
        <v>256933</v>
      </c>
      <c r="G295" t="b">
        <v>0</v>
      </c>
      <c r="H295">
        <v>0.55500000000000005</v>
      </c>
      <c r="I295">
        <v>0.45200000000000001</v>
      </c>
      <c r="J295">
        <v>0</v>
      </c>
      <c r="K295">
        <v>-9.6359999999999992</v>
      </c>
      <c r="L295">
        <v>1</v>
      </c>
      <c r="M295">
        <v>5.5399999999999998E-2</v>
      </c>
      <c r="N295">
        <v>0.69399999999999995</v>
      </c>
      <c r="O295">
        <v>0</v>
      </c>
      <c r="P295">
        <v>5.9499999999999997E-2</v>
      </c>
      <c r="Q295">
        <v>0.32100000000000001</v>
      </c>
      <c r="R295">
        <v>179.92099999999999</v>
      </c>
      <c r="S295">
        <v>4</v>
      </c>
      <c r="T295" t="s">
        <v>4</v>
      </c>
    </row>
    <row r="296" spans="1:20" x14ac:dyDescent="0.3">
      <c r="A296" t="s">
        <v>889</v>
      </c>
      <c r="B296" t="s">
        <v>890</v>
      </c>
      <c r="C296" t="s">
        <v>891</v>
      </c>
      <c r="D296" t="s">
        <v>786</v>
      </c>
      <c r="E296">
        <v>43</v>
      </c>
      <c r="F296">
        <v>279916</v>
      </c>
      <c r="G296" t="b">
        <v>0</v>
      </c>
      <c r="H296">
        <v>0.58599999999999997</v>
      </c>
      <c r="I296">
        <v>0.39600000000000002</v>
      </c>
      <c r="J296">
        <v>10</v>
      </c>
      <c r="K296">
        <v>-9.9529999999999994</v>
      </c>
      <c r="L296">
        <v>1</v>
      </c>
      <c r="M296">
        <v>3.1899999999999998E-2</v>
      </c>
      <c r="N296">
        <v>0.89600000000000002</v>
      </c>
      <c r="O296">
        <v>0.54300000000000004</v>
      </c>
      <c r="P296">
        <v>9.9199999999999997E-2</v>
      </c>
      <c r="Q296">
        <v>0.16</v>
      </c>
      <c r="R296">
        <v>142.59100000000001</v>
      </c>
      <c r="S296">
        <v>3</v>
      </c>
      <c r="T296" t="s">
        <v>4</v>
      </c>
    </row>
    <row r="297" spans="1:20" x14ac:dyDescent="0.3">
      <c r="A297" t="s">
        <v>892</v>
      </c>
      <c r="B297" t="s">
        <v>692</v>
      </c>
      <c r="C297" t="s">
        <v>709</v>
      </c>
      <c r="D297" t="s">
        <v>893</v>
      </c>
      <c r="E297">
        <v>64</v>
      </c>
      <c r="F297">
        <v>250866</v>
      </c>
      <c r="G297" t="b">
        <v>0</v>
      </c>
      <c r="H297">
        <v>0.58799999999999997</v>
      </c>
      <c r="I297">
        <v>0.14199999999999999</v>
      </c>
      <c r="J297">
        <v>7</v>
      </c>
      <c r="K297">
        <v>-15.196</v>
      </c>
      <c r="L297">
        <v>1</v>
      </c>
      <c r="M297">
        <v>3.2899999999999999E-2</v>
      </c>
      <c r="N297">
        <v>0.86299999999999999</v>
      </c>
      <c r="O297">
        <v>1.6200000000000001E-4</v>
      </c>
      <c r="P297">
        <v>9.5299999999999996E-2</v>
      </c>
      <c r="Q297">
        <v>0.28799999999999998</v>
      </c>
      <c r="R297">
        <v>119.65600000000001</v>
      </c>
      <c r="S297">
        <v>4</v>
      </c>
      <c r="T297" t="s">
        <v>4</v>
      </c>
    </row>
    <row r="298" spans="1:20" x14ac:dyDescent="0.3">
      <c r="A298" t="s">
        <v>894</v>
      </c>
      <c r="B298" t="s">
        <v>129</v>
      </c>
      <c r="C298" t="s">
        <v>265</v>
      </c>
      <c r="D298" t="s">
        <v>895</v>
      </c>
      <c r="E298">
        <v>58</v>
      </c>
      <c r="F298">
        <v>94053</v>
      </c>
      <c r="G298" t="b">
        <v>0</v>
      </c>
      <c r="H298">
        <v>0.72399999999999998</v>
      </c>
      <c r="I298">
        <v>0.65200000000000002</v>
      </c>
      <c r="J298">
        <v>3</v>
      </c>
      <c r="K298">
        <v>-6.8689999999999998</v>
      </c>
      <c r="L298">
        <v>1</v>
      </c>
      <c r="M298">
        <v>2.47E-2</v>
      </c>
      <c r="N298">
        <v>0.46</v>
      </c>
      <c r="O298">
        <v>1.4200000000000001E-4</v>
      </c>
      <c r="P298">
        <v>0.10100000000000001</v>
      </c>
      <c r="Q298">
        <v>0.75</v>
      </c>
      <c r="R298">
        <v>106.911</v>
      </c>
      <c r="S298">
        <v>4</v>
      </c>
      <c r="T298" t="s">
        <v>4</v>
      </c>
    </row>
    <row r="299" spans="1:20" x14ac:dyDescent="0.3">
      <c r="A299" t="s">
        <v>896</v>
      </c>
      <c r="B299" t="s">
        <v>897</v>
      </c>
      <c r="C299" t="s">
        <v>898</v>
      </c>
      <c r="D299" t="s">
        <v>898</v>
      </c>
      <c r="E299">
        <v>64</v>
      </c>
      <c r="F299">
        <v>231813</v>
      </c>
      <c r="G299" t="b">
        <v>0</v>
      </c>
      <c r="H299">
        <v>0.56699999999999995</v>
      </c>
      <c r="I299">
        <v>0.224</v>
      </c>
      <c r="J299">
        <v>1</v>
      </c>
      <c r="K299">
        <v>-10.023999999999999</v>
      </c>
      <c r="L299">
        <v>1</v>
      </c>
      <c r="M299">
        <v>2.9899999999999999E-2</v>
      </c>
      <c r="N299">
        <v>0.88700000000000001</v>
      </c>
      <c r="O299">
        <v>0</v>
      </c>
      <c r="P299">
        <v>0.109</v>
      </c>
      <c r="Q299">
        <v>0.2</v>
      </c>
      <c r="R299">
        <v>124.44</v>
      </c>
      <c r="S299">
        <v>4</v>
      </c>
      <c r="T299" t="s">
        <v>4</v>
      </c>
    </row>
    <row r="300" spans="1:20" x14ac:dyDescent="0.3">
      <c r="A300" t="s">
        <v>899</v>
      </c>
      <c r="B300" t="s">
        <v>735</v>
      </c>
      <c r="C300" t="s">
        <v>900</v>
      </c>
      <c r="D300" t="s">
        <v>901</v>
      </c>
      <c r="E300">
        <v>35</v>
      </c>
      <c r="F300">
        <v>150047</v>
      </c>
      <c r="G300" t="b">
        <v>1</v>
      </c>
      <c r="H300">
        <v>0.54400000000000004</v>
      </c>
      <c r="I300">
        <v>0.83899999999999997</v>
      </c>
      <c r="J300">
        <v>5</v>
      </c>
      <c r="K300">
        <v>-8.9909999999999997</v>
      </c>
      <c r="L300">
        <v>1</v>
      </c>
      <c r="M300">
        <v>5.6800000000000003E-2</v>
      </c>
      <c r="N300">
        <v>0.78400000000000003</v>
      </c>
      <c r="O300">
        <v>0</v>
      </c>
      <c r="P300">
        <v>0.34100000000000003</v>
      </c>
      <c r="Q300">
        <v>0.96699999999999997</v>
      </c>
      <c r="R300">
        <v>87.608999999999995</v>
      </c>
      <c r="S300">
        <v>4</v>
      </c>
      <c r="T300" t="s">
        <v>4</v>
      </c>
    </row>
    <row r="301" spans="1:20" x14ac:dyDescent="0.3">
      <c r="A301" t="s">
        <v>902</v>
      </c>
      <c r="B301" t="s">
        <v>692</v>
      </c>
      <c r="C301" t="s">
        <v>903</v>
      </c>
      <c r="D301" t="s">
        <v>904</v>
      </c>
      <c r="E301">
        <v>36</v>
      </c>
      <c r="F301">
        <v>216773</v>
      </c>
      <c r="G301" t="b">
        <v>0</v>
      </c>
      <c r="H301">
        <v>0.55500000000000005</v>
      </c>
      <c r="I301">
        <v>0.68</v>
      </c>
      <c r="J301">
        <v>10</v>
      </c>
      <c r="K301">
        <v>-8.3580000000000005</v>
      </c>
      <c r="L301">
        <v>0</v>
      </c>
      <c r="M301">
        <v>3.2300000000000002E-2</v>
      </c>
      <c r="N301">
        <v>0.126</v>
      </c>
      <c r="O301">
        <v>9.0600000000000001E-4</v>
      </c>
      <c r="P301">
        <v>5.0599999999999999E-2</v>
      </c>
      <c r="Q301">
        <v>0.90300000000000002</v>
      </c>
      <c r="R301">
        <v>84.518000000000001</v>
      </c>
      <c r="S301">
        <v>4</v>
      </c>
      <c r="T301" t="s">
        <v>4</v>
      </c>
    </row>
    <row r="302" spans="1:20" x14ac:dyDescent="0.3">
      <c r="A302" t="s">
        <v>905</v>
      </c>
      <c r="B302" t="s">
        <v>309</v>
      </c>
      <c r="C302" t="s">
        <v>906</v>
      </c>
      <c r="D302" t="s">
        <v>907</v>
      </c>
      <c r="E302">
        <v>54</v>
      </c>
      <c r="F302">
        <v>145771</v>
      </c>
      <c r="G302" t="b">
        <v>0</v>
      </c>
      <c r="H302">
        <v>0.69</v>
      </c>
      <c r="I302">
        <v>0.30599999999999999</v>
      </c>
      <c r="J302">
        <v>9</v>
      </c>
      <c r="K302">
        <v>-9.1929999999999996</v>
      </c>
      <c r="L302">
        <v>1</v>
      </c>
      <c r="M302">
        <v>3.56E-2</v>
      </c>
      <c r="N302">
        <v>0.80500000000000005</v>
      </c>
      <c r="O302">
        <v>0</v>
      </c>
      <c r="P302">
        <v>9.6799999999999997E-2</v>
      </c>
      <c r="Q302">
        <v>0.42399999999999999</v>
      </c>
      <c r="R302">
        <v>115.67100000000001</v>
      </c>
      <c r="S302">
        <v>4</v>
      </c>
      <c r="T302" t="s">
        <v>4</v>
      </c>
    </row>
    <row r="303" spans="1:20" x14ac:dyDescent="0.3">
      <c r="A303" t="s">
        <v>908</v>
      </c>
      <c r="B303" t="s">
        <v>406</v>
      </c>
      <c r="C303" t="s">
        <v>909</v>
      </c>
      <c r="D303" t="s">
        <v>910</v>
      </c>
      <c r="E303">
        <v>43</v>
      </c>
      <c r="F303">
        <v>279260</v>
      </c>
      <c r="G303" t="b">
        <v>0</v>
      </c>
      <c r="H303">
        <v>0.51300000000000001</v>
      </c>
      <c r="I303">
        <v>0.317</v>
      </c>
      <c r="J303">
        <v>10</v>
      </c>
      <c r="K303">
        <v>-17.036000000000001</v>
      </c>
      <c r="L303">
        <v>1</v>
      </c>
      <c r="M303">
        <v>3.6299999999999999E-2</v>
      </c>
      <c r="N303">
        <v>0.36499999999999999</v>
      </c>
      <c r="O303">
        <v>3.0000000000000001E-3</v>
      </c>
      <c r="P303">
        <v>0.11799999999999999</v>
      </c>
      <c r="Q303">
        <v>0.17699999999999999</v>
      </c>
      <c r="R303">
        <v>84.852999999999994</v>
      </c>
      <c r="S303">
        <v>4</v>
      </c>
      <c r="T303" t="s">
        <v>4</v>
      </c>
    </row>
    <row r="304" spans="1:20" x14ac:dyDescent="0.3">
      <c r="A304" t="s">
        <v>911</v>
      </c>
      <c r="B304" t="s">
        <v>332</v>
      </c>
      <c r="C304" t="s">
        <v>912</v>
      </c>
      <c r="D304" t="s">
        <v>913</v>
      </c>
      <c r="E304">
        <v>49</v>
      </c>
      <c r="F304">
        <v>162963</v>
      </c>
      <c r="G304" t="b">
        <v>0</v>
      </c>
      <c r="H304">
        <v>0.49399999999999999</v>
      </c>
      <c r="I304">
        <v>0.152</v>
      </c>
      <c r="J304">
        <v>3</v>
      </c>
      <c r="K304">
        <v>-9.843</v>
      </c>
      <c r="L304">
        <v>1</v>
      </c>
      <c r="M304">
        <v>3.1300000000000001E-2</v>
      </c>
      <c r="N304">
        <v>0.94699999999999995</v>
      </c>
      <c r="O304">
        <v>0</v>
      </c>
      <c r="P304">
        <v>0.123</v>
      </c>
      <c r="Q304">
        <v>0.30399999999999999</v>
      </c>
      <c r="R304">
        <v>134.178</v>
      </c>
      <c r="S304">
        <v>4</v>
      </c>
      <c r="T304" t="s">
        <v>4</v>
      </c>
    </row>
    <row r="305" spans="1:20" x14ac:dyDescent="0.3">
      <c r="A305" t="s">
        <v>914</v>
      </c>
      <c r="B305" t="s">
        <v>915</v>
      </c>
      <c r="C305" t="s">
        <v>916</v>
      </c>
      <c r="D305" t="s">
        <v>917</v>
      </c>
      <c r="E305">
        <v>55</v>
      </c>
      <c r="F305">
        <v>166189</v>
      </c>
      <c r="G305" t="b">
        <v>0</v>
      </c>
      <c r="H305">
        <v>0.63400000000000001</v>
      </c>
      <c r="I305">
        <v>0.26700000000000002</v>
      </c>
      <c r="J305">
        <v>11</v>
      </c>
      <c r="K305">
        <v>-7.3959999999999999</v>
      </c>
      <c r="L305">
        <v>1</v>
      </c>
      <c r="M305">
        <v>4.3999999999999997E-2</v>
      </c>
      <c r="N305">
        <v>0.84099999999999997</v>
      </c>
      <c r="O305">
        <v>0</v>
      </c>
      <c r="P305">
        <v>0.11</v>
      </c>
      <c r="Q305">
        <v>0.39100000000000001</v>
      </c>
      <c r="R305">
        <v>143.51400000000001</v>
      </c>
      <c r="S305">
        <v>4</v>
      </c>
      <c r="T305" t="s">
        <v>4</v>
      </c>
    </row>
    <row r="306" spans="1:20" x14ac:dyDescent="0.3">
      <c r="A306" t="s">
        <v>918</v>
      </c>
      <c r="B306" t="s">
        <v>919</v>
      </c>
      <c r="C306" t="s">
        <v>72</v>
      </c>
      <c r="D306" t="s">
        <v>920</v>
      </c>
      <c r="E306">
        <v>54</v>
      </c>
      <c r="F306">
        <v>244188</v>
      </c>
      <c r="G306" t="b">
        <v>0</v>
      </c>
      <c r="H306">
        <v>0.69399999999999995</v>
      </c>
      <c r="I306">
        <v>0.47099999999999997</v>
      </c>
      <c r="J306">
        <v>8</v>
      </c>
      <c r="K306">
        <v>-8.6199999999999992</v>
      </c>
      <c r="L306">
        <v>1</v>
      </c>
      <c r="M306">
        <v>2.81E-2</v>
      </c>
      <c r="N306">
        <v>0.41099999999999998</v>
      </c>
      <c r="O306">
        <v>0</v>
      </c>
      <c r="P306">
        <v>0.23300000000000001</v>
      </c>
      <c r="Q306">
        <v>0.46600000000000003</v>
      </c>
      <c r="R306">
        <v>95.003</v>
      </c>
      <c r="S306">
        <v>4</v>
      </c>
      <c r="T306" t="s">
        <v>4</v>
      </c>
    </row>
    <row r="307" spans="1:20" x14ac:dyDescent="0.3">
      <c r="A307" t="s">
        <v>921</v>
      </c>
      <c r="B307" t="s">
        <v>922</v>
      </c>
      <c r="C307" t="s">
        <v>923</v>
      </c>
      <c r="D307" t="s">
        <v>923</v>
      </c>
      <c r="E307">
        <v>55</v>
      </c>
      <c r="F307">
        <v>165067</v>
      </c>
      <c r="G307" t="b">
        <v>0</v>
      </c>
      <c r="H307">
        <v>0.64300000000000002</v>
      </c>
      <c r="I307">
        <v>0.11</v>
      </c>
      <c r="J307">
        <v>6</v>
      </c>
      <c r="K307">
        <v>-14.28</v>
      </c>
      <c r="L307">
        <v>1</v>
      </c>
      <c r="M307">
        <v>2.9399999999999999E-2</v>
      </c>
      <c r="N307">
        <v>0.876</v>
      </c>
      <c r="O307" s="9" t="s">
        <v>924</v>
      </c>
      <c r="P307">
        <v>0.112</v>
      </c>
      <c r="Q307">
        <v>0.152</v>
      </c>
      <c r="R307">
        <v>101.995</v>
      </c>
      <c r="S307">
        <v>4</v>
      </c>
      <c r="T307" t="s">
        <v>4</v>
      </c>
    </row>
    <row r="308" spans="1:20" x14ac:dyDescent="0.3">
      <c r="A308" t="s">
        <v>925</v>
      </c>
      <c r="B308" t="s">
        <v>179</v>
      </c>
      <c r="C308" t="s">
        <v>926</v>
      </c>
      <c r="D308" t="s">
        <v>926</v>
      </c>
      <c r="E308">
        <v>39</v>
      </c>
      <c r="F308">
        <v>208571</v>
      </c>
      <c r="G308" t="b">
        <v>0</v>
      </c>
      <c r="H308">
        <v>0.42199999999999999</v>
      </c>
      <c r="I308">
        <v>0.41</v>
      </c>
      <c r="J308">
        <v>6</v>
      </c>
      <c r="K308">
        <v>-14.151</v>
      </c>
      <c r="L308">
        <v>0</v>
      </c>
      <c r="M308">
        <v>4.6699999999999998E-2</v>
      </c>
      <c r="N308">
        <v>8.5500000000000003E-3</v>
      </c>
      <c r="O308">
        <v>0</v>
      </c>
      <c r="P308">
        <v>0.104</v>
      </c>
      <c r="Q308">
        <v>0.35399999999999998</v>
      </c>
      <c r="R308">
        <v>83.951999999999998</v>
      </c>
      <c r="S308">
        <v>4</v>
      </c>
      <c r="T308" t="s">
        <v>4</v>
      </c>
    </row>
    <row r="309" spans="1:20" x14ac:dyDescent="0.3">
      <c r="A309" t="s">
        <v>927</v>
      </c>
      <c r="B309" t="s">
        <v>928</v>
      </c>
      <c r="C309" t="s">
        <v>929</v>
      </c>
      <c r="D309" t="s">
        <v>930</v>
      </c>
      <c r="E309">
        <v>51</v>
      </c>
      <c r="F309">
        <v>189240</v>
      </c>
      <c r="G309" t="b">
        <v>0</v>
      </c>
      <c r="H309">
        <v>0.54300000000000004</v>
      </c>
      <c r="I309">
        <v>0.28799999999999998</v>
      </c>
      <c r="J309">
        <v>0</v>
      </c>
      <c r="K309">
        <v>-8.6080000000000005</v>
      </c>
      <c r="L309">
        <v>0</v>
      </c>
      <c r="M309">
        <v>2.58E-2</v>
      </c>
      <c r="N309">
        <v>0.66700000000000004</v>
      </c>
      <c r="O309">
        <v>0</v>
      </c>
      <c r="P309">
        <v>0.113</v>
      </c>
      <c r="Q309">
        <v>0.29299999999999998</v>
      </c>
      <c r="R309">
        <v>95.435000000000002</v>
      </c>
      <c r="S309">
        <v>4</v>
      </c>
      <c r="T309" t="s">
        <v>4</v>
      </c>
    </row>
    <row r="310" spans="1:20" x14ac:dyDescent="0.3">
      <c r="A310" t="s">
        <v>931</v>
      </c>
      <c r="B310" t="s">
        <v>932</v>
      </c>
      <c r="C310" t="s">
        <v>933</v>
      </c>
      <c r="D310" t="s">
        <v>934</v>
      </c>
      <c r="E310">
        <v>52</v>
      </c>
      <c r="F310">
        <v>182553</v>
      </c>
      <c r="G310" t="b">
        <v>0</v>
      </c>
      <c r="H310">
        <v>0.33200000000000002</v>
      </c>
      <c r="I310">
        <v>0.28199999999999997</v>
      </c>
      <c r="J310">
        <v>7</v>
      </c>
      <c r="K310">
        <v>-7.2569999999999997</v>
      </c>
      <c r="L310">
        <v>1</v>
      </c>
      <c r="M310">
        <v>4.3999999999999997E-2</v>
      </c>
      <c r="N310">
        <v>0.82499999999999996</v>
      </c>
      <c r="O310">
        <v>0</v>
      </c>
      <c r="P310">
        <v>0.104</v>
      </c>
      <c r="Q310">
        <v>0.23400000000000001</v>
      </c>
      <c r="R310">
        <v>187.05699999999999</v>
      </c>
      <c r="S310">
        <v>4</v>
      </c>
      <c r="T310" t="s">
        <v>4</v>
      </c>
    </row>
    <row r="311" spans="1:20" x14ac:dyDescent="0.3">
      <c r="A311" t="s">
        <v>935</v>
      </c>
      <c r="B311" t="s">
        <v>644</v>
      </c>
      <c r="C311" t="s">
        <v>936</v>
      </c>
      <c r="D311" t="s">
        <v>937</v>
      </c>
      <c r="E311">
        <v>56</v>
      </c>
      <c r="F311">
        <v>183093</v>
      </c>
      <c r="G311" t="b">
        <v>0</v>
      </c>
      <c r="H311">
        <v>0.43</v>
      </c>
      <c r="I311">
        <v>0.121</v>
      </c>
      <c r="J311">
        <v>10</v>
      </c>
      <c r="K311">
        <v>-15.148</v>
      </c>
      <c r="L311">
        <v>1</v>
      </c>
      <c r="M311">
        <v>4.0399999999999998E-2</v>
      </c>
      <c r="N311">
        <v>0.90800000000000003</v>
      </c>
      <c r="O311">
        <v>0</v>
      </c>
      <c r="P311">
        <v>0.161</v>
      </c>
      <c r="Q311">
        <v>0.46100000000000002</v>
      </c>
      <c r="R311">
        <v>91.210999999999999</v>
      </c>
      <c r="S311">
        <v>4</v>
      </c>
      <c r="T311" t="s">
        <v>4</v>
      </c>
    </row>
    <row r="312" spans="1:20" x14ac:dyDescent="0.3">
      <c r="A312" t="s">
        <v>938</v>
      </c>
      <c r="B312" t="s">
        <v>939</v>
      </c>
      <c r="C312" t="s">
        <v>940</v>
      </c>
      <c r="D312" t="s">
        <v>941</v>
      </c>
      <c r="E312">
        <v>48</v>
      </c>
      <c r="F312">
        <v>243724</v>
      </c>
      <c r="G312" t="b">
        <v>0</v>
      </c>
      <c r="H312">
        <v>0.432</v>
      </c>
      <c r="I312">
        <v>0.19700000000000001</v>
      </c>
      <c r="J312">
        <v>3</v>
      </c>
      <c r="K312">
        <v>-9.2509999999999994</v>
      </c>
      <c r="L312">
        <v>1</v>
      </c>
      <c r="M312">
        <v>4.1399999999999999E-2</v>
      </c>
      <c r="N312">
        <v>0.87</v>
      </c>
      <c r="O312">
        <v>0</v>
      </c>
      <c r="P312">
        <v>0.11</v>
      </c>
      <c r="Q312">
        <v>0.34799999999999998</v>
      </c>
      <c r="R312">
        <v>163.98500000000001</v>
      </c>
      <c r="S312">
        <v>4</v>
      </c>
      <c r="T312" t="s">
        <v>4</v>
      </c>
    </row>
    <row r="313" spans="1:20" x14ac:dyDescent="0.3">
      <c r="A313" t="s">
        <v>942</v>
      </c>
      <c r="B313" t="s">
        <v>336</v>
      </c>
      <c r="C313" t="s">
        <v>337</v>
      </c>
      <c r="D313" t="s">
        <v>337</v>
      </c>
      <c r="E313">
        <v>41</v>
      </c>
      <c r="F313">
        <v>322146</v>
      </c>
      <c r="G313" t="b">
        <v>0</v>
      </c>
      <c r="H313">
        <v>0.59199999999999997</v>
      </c>
      <c r="I313">
        <v>0.76900000000000002</v>
      </c>
      <c r="J313">
        <v>2</v>
      </c>
      <c r="K313">
        <v>-5.2679999999999998</v>
      </c>
      <c r="L313">
        <v>1</v>
      </c>
      <c r="M313">
        <v>3.1099999999999999E-2</v>
      </c>
      <c r="N313">
        <v>0.31900000000000001</v>
      </c>
      <c r="O313" s="9" t="s">
        <v>338</v>
      </c>
      <c r="P313">
        <v>0.13700000000000001</v>
      </c>
      <c r="Q313">
        <v>0.38500000000000001</v>
      </c>
      <c r="R313">
        <v>102.033</v>
      </c>
      <c r="S313">
        <v>4</v>
      </c>
      <c r="T313" t="s">
        <v>4</v>
      </c>
    </row>
    <row r="314" spans="1:20" x14ac:dyDescent="0.3">
      <c r="A314" t="s">
        <v>943</v>
      </c>
      <c r="B314" t="s">
        <v>6</v>
      </c>
      <c r="C314" t="s">
        <v>944</v>
      </c>
      <c r="D314" t="s">
        <v>944</v>
      </c>
      <c r="E314">
        <v>40</v>
      </c>
      <c r="F314">
        <v>209554</v>
      </c>
      <c r="G314" t="b">
        <v>0</v>
      </c>
      <c r="H314">
        <v>0.73299999999999998</v>
      </c>
      <c r="I314">
        <v>0.29699999999999999</v>
      </c>
      <c r="J314">
        <v>5</v>
      </c>
      <c r="K314">
        <v>-14.452</v>
      </c>
      <c r="L314">
        <v>1</v>
      </c>
      <c r="M314">
        <v>3.5900000000000001E-2</v>
      </c>
      <c r="N314">
        <v>0.93500000000000005</v>
      </c>
      <c r="O314" s="9" t="s">
        <v>945</v>
      </c>
      <c r="P314">
        <v>0.108</v>
      </c>
      <c r="Q314">
        <v>0.76600000000000001</v>
      </c>
      <c r="R314">
        <v>103.953</v>
      </c>
      <c r="S314">
        <v>4</v>
      </c>
      <c r="T314" t="s">
        <v>4</v>
      </c>
    </row>
    <row r="315" spans="1:20" x14ac:dyDescent="0.3">
      <c r="A315" t="s">
        <v>946</v>
      </c>
      <c r="B315" t="s">
        <v>14</v>
      </c>
      <c r="C315" t="s">
        <v>947</v>
      </c>
      <c r="D315" t="s">
        <v>948</v>
      </c>
      <c r="E315">
        <v>57</v>
      </c>
      <c r="F315">
        <v>198403</v>
      </c>
      <c r="G315" t="b">
        <v>0</v>
      </c>
      <c r="H315">
        <v>0.39400000000000002</v>
      </c>
      <c r="I315">
        <v>0.249</v>
      </c>
      <c r="J315">
        <v>5</v>
      </c>
      <c r="K315">
        <v>-10.484</v>
      </c>
      <c r="L315">
        <v>1</v>
      </c>
      <c r="M315">
        <v>3.9600000000000003E-2</v>
      </c>
      <c r="N315">
        <v>0.92700000000000005</v>
      </c>
      <c r="O315">
        <v>0</v>
      </c>
      <c r="P315">
        <v>0.115</v>
      </c>
      <c r="Q315">
        <v>0.32900000000000001</v>
      </c>
      <c r="R315">
        <v>79.549000000000007</v>
      </c>
      <c r="S315">
        <v>4</v>
      </c>
      <c r="T315" t="s">
        <v>4</v>
      </c>
    </row>
    <row r="316" spans="1:20" x14ac:dyDescent="0.3">
      <c r="A316" t="s">
        <v>949</v>
      </c>
      <c r="B316" t="s">
        <v>950</v>
      </c>
      <c r="C316" t="s">
        <v>951</v>
      </c>
      <c r="D316" t="s">
        <v>952</v>
      </c>
      <c r="E316">
        <v>53</v>
      </c>
      <c r="F316">
        <v>67746</v>
      </c>
      <c r="G316" t="b">
        <v>0</v>
      </c>
      <c r="H316">
        <v>0.41</v>
      </c>
      <c r="I316">
        <v>0.23400000000000001</v>
      </c>
      <c r="J316">
        <v>1</v>
      </c>
      <c r="K316">
        <v>-15.236000000000001</v>
      </c>
      <c r="L316">
        <v>1</v>
      </c>
      <c r="M316">
        <v>4.2099999999999999E-2</v>
      </c>
      <c r="N316">
        <v>0.79800000000000004</v>
      </c>
      <c r="O316">
        <v>3.0400000000000002E-3</v>
      </c>
      <c r="P316">
        <v>0.108</v>
      </c>
      <c r="Q316">
        <v>0.19</v>
      </c>
      <c r="R316">
        <v>93.72</v>
      </c>
      <c r="S316">
        <v>4</v>
      </c>
      <c r="T316" t="s">
        <v>4</v>
      </c>
    </row>
    <row r="317" spans="1:20" x14ac:dyDescent="0.3">
      <c r="A317" t="s">
        <v>953</v>
      </c>
      <c r="B317" t="s">
        <v>954</v>
      </c>
      <c r="C317" t="s">
        <v>955</v>
      </c>
      <c r="D317" t="s">
        <v>955</v>
      </c>
      <c r="E317">
        <v>30</v>
      </c>
      <c r="F317">
        <v>129032</v>
      </c>
      <c r="G317" t="b">
        <v>0</v>
      </c>
      <c r="H317">
        <v>0.48</v>
      </c>
      <c r="I317">
        <v>0.158</v>
      </c>
      <c r="J317">
        <v>8</v>
      </c>
      <c r="K317">
        <v>-15.239000000000001</v>
      </c>
      <c r="L317">
        <v>1</v>
      </c>
      <c r="M317">
        <v>8.0699999999999994E-2</v>
      </c>
      <c r="N317">
        <v>0.80900000000000005</v>
      </c>
      <c r="O317">
        <v>0.88600000000000001</v>
      </c>
      <c r="P317">
        <v>0.11700000000000001</v>
      </c>
      <c r="Q317">
        <v>0.498</v>
      </c>
      <c r="R317">
        <v>86.106999999999999</v>
      </c>
      <c r="S317">
        <v>4</v>
      </c>
      <c r="T317" t="s">
        <v>4</v>
      </c>
    </row>
    <row r="318" spans="1:20" x14ac:dyDescent="0.3">
      <c r="A318" t="s">
        <v>956</v>
      </c>
      <c r="B318" t="s">
        <v>37</v>
      </c>
      <c r="C318" t="s">
        <v>957</v>
      </c>
      <c r="D318" t="s">
        <v>957</v>
      </c>
      <c r="E318">
        <v>49</v>
      </c>
      <c r="F318">
        <v>218004</v>
      </c>
      <c r="G318" t="b">
        <v>0</v>
      </c>
      <c r="H318">
        <v>0.255</v>
      </c>
      <c r="I318">
        <v>0.625</v>
      </c>
      <c r="J318">
        <v>0</v>
      </c>
      <c r="K318">
        <v>-8.31</v>
      </c>
      <c r="L318">
        <v>1</v>
      </c>
      <c r="M318">
        <v>3.2300000000000002E-2</v>
      </c>
      <c r="N318">
        <v>0.63</v>
      </c>
      <c r="O318">
        <v>2.1100000000000001E-4</v>
      </c>
      <c r="P318">
        <v>9.7600000000000006E-2</v>
      </c>
      <c r="Q318">
        <v>0.191</v>
      </c>
      <c r="R318">
        <v>84.611000000000004</v>
      </c>
      <c r="S318">
        <v>4</v>
      </c>
      <c r="T318" t="s">
        <v>4</v>
      </c>
    </row>
    <row r="319" spans="1:20" x14ac:dyDescent="0.3">
      <c r="A319" t="s">
        <v>958</v>
      </c>
      <c r="B319" t="s">
        <v>959</v>
      </c>
      <c r="C319" t="s">
        <v>202</v>
      </c>
      <c r="D319" t="s">
        <v>960</v>
      </c>
      <c r="E319">
        <v>26</v>
      </c>
      <c r="F319">
        <v>222911</v>
      </c>
      <c r="G319" t="b">
        <v>0</v>
      </c>
      <c r="H319">
        <v>0.52400000000000002</v>
      </c>
      <c r="I319">
        <v>0.32800000000000001</v>
      </c>
      <c r="J319">
        <v>11</v>
      </c>
      <c r="K319">
        <v>-10.000999999999999</v>
      </c>
      <c r="L319">
        <v>1</v>
      </c>
      <c r="M319">
        <v>4.0300000000000002E-2</v>
      </c>
      <c r="N319">
        <v>0.81699999999999995</v>
      </c>
      <c r="O319">
        <v>0</v>
      </c>
      <c r="P319">
        <v>0.11799999999999999</v>
      </c>
      <c r="Q319">
        <v>0.59899999999999998</v>
      </c>
      <c r="R319">
        <v>99.941000000000003</v>
      </c>
      <c r="S319">
        <v>4</v>
      </c>
      <c r="T319" t="s">
        <v>4</v>
      </c>
    </row>
    <row r="320" spans="1:20" x14ac:dyDescent="0.3">
      <c r="A320" t="s">
        <v>961</v>
      </c>
      <c r="B320" t="s">
        <v>962</v>
      </c>
      <c r="C320" t="s">
        <v>963</v>
      </c>
      <c r="D320" t="s">
        <v>964</v>
      </c>
      <c r="E320">
        <v>53</v>
      </c>
      <c r="F320">
        <v>206693</v>
      </c>
      <c r="G320" t="b">
        <v>0</v>
      </c>
      <c r="H320">
        <v>0.46400000000000002</v>
      </c>
      <c r="I320">
        <v>0.65300000000000002</v>
      </c>
      <c r="J320">
        <v>6</v>
      </c>
      <c r="K320">
        <v>-7.5140000000000002</v>
      </c>
      <c r="L320">
        <v>1</v>
      </c>
      <c r="M320">
        <v>0.10100000000000001</v>
      </c>
      <c r="N320">
        <v>0.19900000000000001</v>
      </c>
      <c r="O320">
        <v>0</v>
      </c>
      <c r="P320">
        <v>9.7900000000000001E-2</v>
      </c>
      <c r="Q320">
        <v>0.41599999999999998</v>
      </c>
      <c r="R320">
        <v>162.196</v>
      </c>
      <c r="S320">
        <v>4</v>
      </c>
      <c r="T320" t="s">
        <v>4</v>
      </c>
    </row>
    <row r="321" spans="1:20" x14ac:dyDescent="0.3">
      <c r="A321" t="s">
        <v>965</v>
      </c>
      <c r="B321" t="s">
        <v>319</v>
      </c>
      <c r="C321" t="s">
        <v>966</v>
      </c>
      <c r="D321" t="s">
        <v>967</v>
      </c>
      <c r="E321">
        <v>52</v>
      </c>
      <c r="F321">
        <v>246979</v>
      </c>
      <c r="G321" t="b">
        <v>0</v>
      </c>
      <c r="H321">
        <v>0.65900000000000003</v>
      </c>
      <c r="I321">
        <v>0.33100000000000002</v>
      </c>
      <c r="J321">
        <v>10</v>
      </c>
      <c r="K321">
        <v>-8.9870000000000001</v>
      </c>
      <c r="L321">
        <v>1</v>
      </c>
      <c r="M321">
        <v>3.2099999999999997E-2</v>
      </c>
      <c r="N321">
        <v>0.80900000000000005</v>
      </c>
      <c r="O321">
        <v>0</v>
      </c>
      <c r="P321">
        <v>9.9599999999999994E-2</v>
      </c>
      <c r="Q321">
        <v>8.77E-2</v>
      </c>
      <c r="R321">
        <v>105.01</v>
      </c>
      <c r="S321">
        <v>4</v>
      </c>
      <c r="T321" t="s">
        <v>4</v>
      </c>
    </row>
    <row r="322" spans="1:20" x14ac:dyDescent="0.3">
      <c r="A322" t="s">
        <v>968</v>
      </c>
      <c r="B322" t="s">
        <v>40</v>
      </c>
      <c r="C322" t="s">
        <v>41</v>
      </c>
      <c r="D322" t="s">
        <v>969</v>
      </c>
      <c r="E322">
        <v>51</v>
      </c>
      <c r="F322">
        <v>282950</v>
      </c>
      <c r="G322" t="b">
        <v>0</v>
      </c>
      <c r="H322">
        <v>0.59199999999999997</v>
      </c>
      <c r="I322">
        <v>0.49</v>
      </c>
      <c r="J322">
        <v>10</v>
      </c>
      <c r="K322">
        <v>-8.5079999999999991</v>
      </c>
      <c r="L322">
        <v>1</v>
      </c>
      <c r="M322">
        <v>2.63E-2</v>
      </c>
      <c r="N322">
        <v>0.39500000000000002</v>
      </c>
      <c r="O322">
        <v>0</v>
      </c>
      <c r="P322">
        <v>0.33300000000000002</v>
      </c>
      <c r="Q322">
        <v>0.437</v>
      </c>
      <c r="R322">
        <v>99.994</v>
      </c>
      <c r="S322">
        <v>4</v>
      </c>
      <c r="T322" t="s">
        <v>4</v>
      </c>
    </row>
    <row r="323" spans="1:20" x14ac:dyDescent="0.3">
      <c r="A323" t="s">
        <v>970</v>
      </c>
      <c r="B323" t="s">
        <v>971</v>
      </c>
      <c r="C323" t="s">
        <v>972</v>
      </c>
      <c r="D323" t="s">
        <v>972</v>
      </c>
      <c r="E323">
        <v>35</v>
      </c>
      <c r="F323">
        <v>222626</v>
      </c>
      <c r="G323" t="b">
        <v>0</v>
      </c>
      <c r="H323">
        <v>0.46700000000000003</v>
      </c>
      <c r="I323">
        <v>0.85099999999999998</v>
      </c>
      <c r="J323">
        <v>6</v>
      </c>
      <c r="K323">
        <v>-4.2030000000000003</v>
      </c>
      <c r="L323">
        <v>1</v>
      </c>
      <c r="M323">
        <v>5.2600000000000001E-2</v>
      </c>
      <c r="N323">
        <v>3.5300000000000002E-4</v>
      </c>
      <c r="O323">
        <v>0</v>
      </c>
      <c r="P323">
        <v>0.33</v>
      </c>
      <c r="Q323">
        <v>0.64400000000000002</v>
      </c>
      <c r="R323">
        <v>93.873000000000005</v>
      </c>
      <c r="S323">
        <v>4</v>
      </c>
      <c r="T323" t="s">
        <v>4</v>
      </c>
    </row>
    <row r="324" spans="1:20" x14ac:dyDescent="0.3">
      <c r="A324" t="s">
        <v>973</v>
      </c>
      <c r="B324" t="s">
        <v>974</v>
      </c>
      <c r="C324" t="s">
        <v>975</v>
      </c>
      <c r="D324" t="s">
        <v>976</v>
      </c>
      <c r="E324">
        <v>54</v>
      </c>
      <c r="F324">
        <v>219692</v>
      </c>
      <c r="G324" t="b">
        <v>0</v>
      </c>
      <c r="H324">
        <v>0.56399999999999995</v>
      </c>
      <c r="I324">
        <v>0.39100000000000001</v>
      </c>
      <c r="J324">
        <v>5</v>
      </c>
      <c r="K324">
        <v>-7.6550000000000002</v>
      </c>
      <c r="L324">
        <v>1</v>
      </c>
      <c r="M324">
        <v>3.1099999999999999E-2</v>
      </c>
      <c r="N324">
        <v>0.47799999999999998</v>
      </c>
      <c r="O324">
        <v>0</v>
      </c>
      <c r="P324">
        <v>0.127</v>
      </c>
      <c r="Q324">
        <v>0.10100000000000001</v>
      </c>
      <c r="R324">
        <v>130.03</v>
      </c>
      <c r="S324">
        <v>4</v>
      </c>
      <c r="T324" t="s">
        <v>4</v>
      </c>
    </row>
    <row r="325" spans="1:20" x14ac:dyDescent="0.3">
      <c r="A325" t="s">
        <v>977</v>
      </c>
      <c r="B325" t="s">
        <v>978</v>
      </c>
      <c r="C325" t="s">
        <v>979</v>
      </c>
      <c r="D325" t="s">
        <v>980</v>
      </c>
      <c r="E325">
        <v>50</v>
      </c>
      <c r="F325">
        <v>170786</v>
      </c>
      <c r="G325" t="b">
        <v>0</v>
      </c>
      <c r="H325">
        <v>0.498</v>
      </c>
      <c r="I325">
        <v>0.38400000000000001</v>
      </c>
      <c r="J325">
        <v>4</v>
      </c>
      <c r="K325">
        <v>-10.752000000000001</v>
      </c>
      <c r="L325">
        <v>1</v>
      </c>
      <c r="M325">
        <v>9.7600000000000006E-2</v>
      </c>
      <c r="N325">
        <v>0.81799999999999995</v>
      </c>
      <c r="O325">
        <v>9.3700000000000001E-4</v>
      </c>
      <c r="P325">
        <v>0.13</v>
      </c>
      <c r="Q325">
        <v>0.25</v>
      </c>
      <c r="R325">
        <v>79.855999999999995</v>
      </c>
      <c r="S325">
        <v>4</v>
      </c>
      <c r="T325" t="s">
        <v>4</v>
      </c>
    </row>
    <row r="326" spans="1:20" x14ac:dyDescent="0.3">
      <c r="A326" t="s">
        <v>981</v>
      </c>
      <c r="B326" t="s">
        <v>982</v>
      </c>
      <c r="C326" t="s">
        <v>983</v>
      </c>
      <c r="D326" t="s">
        <v>984</v>
      </c>
      <c r="E326">
        <v>53</v>
      </c>
      <c r="F326">
        <v>70133</v>
      </c>
      <c r="G326" t="b">
        <v>0</v>
      </c>
      <c r="H326">
        <v>0.38600000000000001</v>
      </c>
      <c r="I326">
        <v>0.42799999999999999</v>
      </c>
      <c r="J326">
        <v>10</v>
      </c>
      <c r="K326">
        <v>-9.9489999999999998</v>
      </c>
      <c r="L326">
        <v>0</v>
      </c>
      <c r="M326">
        <v>2.9499999999999998E-2</v>
      </c>
      <c r="N326">
        <v>0.95099999999999996</v>
      </c>
      <c r="O326">
        <v>0.88200000000000001</v>
      </c>
      <c r="P326">
        <v>0.16200000000000001</v>
      </c>
      <c r="Q326">
        <v>0.73</v>
      </c>
      <c r="R326">
        <v>172.31100000000001</v>
      </c>
      <c r="S326">
        <v>4</v>
      </c>
      <c r="T326" t="s">
        <v>4</v>
      </c>
    </row>
    <row r="327" spans="1:20" x14ac:dyDescent="0.3">
      <c r="A327" t="s">
        <v>985</v>
      </c>
      <c r="B327" t="s">
        <v>19</v>
      </c>
      <c r="C327" t="s">
        <v>986</v>
      </c>
      <c r="D327" t="s">
        <v>987</v>
      </c>
      <c r="E327">
        <v>48</v>
      </c>
      <c r="F327">
        <v>200346</v>
      </c>
      <c r="G327" t="b">
        <v>0</v>
      </c>
      <c r="H327">
        <v>0.70199999999999996</v>
      </c>
      <c r="I327">
        <v>0.25900000000000001</v>
      </c>
      <c r="J327">
        <v>2</v>
      </c>
      <c r="K327">
        <v>-9.73</v>
      </c>
      <c r="L327">
        <v>1</v>
      </c>
      <c r="M327">
        <v>4.0300000000000002E-2</v>
      </c>
      <c r="N327">
        <v>0.878</v>
      </c>
      <c r="O327" s="9" t="s">
        <v>988</v>
      </c>
      <c r="P327">
        <v>0.108</v>
      </c>
      <c r="Q327">
        <v>0.246</v>
      </c>
      <c r="R327">
        <v>120.102</v>
      </c>
      <c r="S327">
        <v>4</v>
      </c>
      <c r="T327" t="s">
        <v>4</v>
      </c>
    </row>
    <row r="328" spans="1:20" x14ac:dyDescent="0.3">
      <c r="A328" t="s">
        <v>989</v>
      </c>
      <c r="B328" t="s">
        <v>285</v>
      </c>
      <c r="C328" t="s">
        <v>285</v>
      </c>
      <c r="D328" t="s">
        <v>990</v>
      </c>
      <c r="E328">
        <v>49</v>
      </c>
      <c r="F328">
        <v>229653</v>
      </c>
      <c r="G328" t="b">
        <v>0</v>
      </c>
      <c r="H328">
        <v>0.747</v>
      </c>
      <c r="I328">
        <v>0.26500000000000001</v>
      </c>
      <c r="J328">
        <v>1</v>
      </c>
      <c r="K328">
        <v>-14.141</v>
      </c>
      <c r="L328">
        <v>1</v>
      </c>
      <c r="M328">
        <v>3.5400000000000001E-2</v>
      </c>
      <c r="N328">
        <v>0.745</v>
      </c>
      <c r="O328">
        <v>1.6899999999999998E-2</v>
      </c>
      <c r="P328">
        <v>0.11</v>
      </c>
      <c r="Q328">
        <v>0.2</v>
      </c>
      <c r="R328">
        <v>138.017</v>
      </c>
      <c r="S328">
        <v>4</v>
      </c>
      <c r="T328" t="s">
        <v>4</v>
      </c>
    </row>
    <row r="329" spans="1:20" x14ac:dyDescent="0.3">
      <c r="A329" t="s">
        <v>991</v>
      </c>
      <c r="B329" t="s">
        <v>971</v>
      </c>
      <c r="C329" t="s">
        <v>992</v>
      </c>
      <c r="D329" t="s">
        <v>992</v>
      </c>
      <c r="E329">
        <v>35</v>
      </c>
      <c r="F329">
        <v>354213</v>
      </c>
      <c r="G329" t="b">
        <v>0</v>
      </c>
      <c r="H329">
        <v>0.52200000000000002</v>
      </c>
      <c r="I329">
        <v>0.498</v>
      </c>
      <c r="J329">
        <v>7</v>
      </c>
      <c r="K329">
        <v>-7.2469999999999999</v>
      </c>
      <c r="L329">
        <v>1</v>
      </c>
      <c r="M329">
        <v>2.5700000000000001E-2</v>
      </c>
      <c r="N329">
        <v>7.5800000000000006E-2</v>
      </c>
      <c r="O329" s="9" t="s">
        <v>993</v>
      </c>
      <c r="P329">
        <v>0.25</v>
      </c>
      <c r="Q329">
        <v>0.221</v>
      </c>
      <c r="R329">
        <v>145.90799999999999</v>
      </c>
      <c r="S329">
        <v>4</v>
      </c>
      <c r="T329" t="s">
        <v>4</v>
      </c>
    </row>
    <row r="330" spans="1:20" x14ac:dyDescent="0.3">
      <c r="A330" t="s">
        <v>994</v>
      </c>
      <c r="B330" t="s">
        <v>40</v>
      </c>
      <c r="C330" t="s">
        <v>995</v>
      </c>
      <c r="D330" t="s">
        <v>995</v>
      </c>
      <c r="E330">
        <v>60</v>
      </c>
      <c r="F330">
        <v>183969</v>
      </c>
      <c r="G330" t="b">
        <v>0</v>
      </c>
      <c r="H330">
        <v>0.71499999999999997</v>
      </c>
      <c r="I330">
        <v>0.438</v>
      </c>
      <c r="J330">
        <v>10</v>
      </c>
      <c r="K330">
        <v>-6.1470000000000002</v>
      </c>
      <c r="L330">
        <v>0</v>
      </c>
      <c r="M330">
        <v>3.73E-2</v>
      </c>
      <c r="N330">
        <v>0.35299999999999998</v>
      </c>
      <c r="O330" s="9" t="s">
        <v>996</v>
      </c>
      <c r="P330">
        <v>0.108</v>
      </c>
      <c r="Q330">
        <v>0.44700000000000001</v>
      </c>
      <c r="R330">
        <v>81.069999999999993</v>
      </c>
      <c r="S330">
        <v>4</v>
      </c>
      <c r="T330" t="s">
        <v>4</v>
      </c>
    </row>
    <row r="331" spans="1:20" x14ac:dyDescent="0.3">
      <c r="A331" t="s">
        <v>997</v>
      </c>
      <c r="B331" t="s">
        <v>40</v>
      </c>
      <c r="C331" t="s">
        <v>41</v>
      </c>
      <c r="D331" t="s">
        <v>636</v>
      </c>
      <c r="E331">
        <v>65</v>
      </c>
      <c r="F331">
        <v>221538</v>
      </c>
      <c r="G331" t="b">
        <v>0</v>
      </c>
      <c r="H331">
        <v>0.64200000000000002</v>
      </c>
      <c r="I331">
        <v>0.374</v>
      </c>
      <c r="J331">
        <v>5</v>
      </c>
      <c r="K331">
        <v>-10.606</v>
      </c>
      <c r="L331">
        <v>1</v>
      </c>
      <c r="M331">
        <v>3.2000000000000001E-2</v>
      </c>
      <c r="N331">
        <v>0.42299999999999999</v>
      </c>
      <c r="O331" s="9" t="s">
        <v>637</v>
      </c>
      <c r="P331">
        <v>0.435</v>
      </c>
      <c r="Q331">
        <v>9.7900000000000001E-2</v>
      </c>
      <c r="R331">
        <v>129.863</v>
      </c>
      <c r="S331">
        <v>4</v>
      </c>
      <c r="T331" t="s">
        <v>4</v>
      </c>
    </row>
    <row r="332" spans="1:20" x14ac:dyDescent="0.3">
      <c r="A332" t="s">
        <v>998</v>
      </c>
      <c r="B332" t="s">
        <v>999</v>
      </c>
      <c r="C332" t="s">
        <v>1000</v>
      </c>
      <c r="D332" t="s">
        <v>1001</v>
      </c>
      <c r="E332">
        <v>52</v>
      </c>
      <c r="F332">
        <v>192545</v>
      </c>
      <c r="G332" t="b">
        <v>0</v>
      </c>
      <c r="H332">
        <v>0.35399999999999998</v>
      </c>
      <c r="I332">
        <v>0.41499999999999998</v>
      </c>
      <c r="J332">
        <v>9</v>
      </c>
      <c r="K332">
        <v>-6.5780000000000003</v>
      </c>
      <c r="L332">
        <v>1</v>
      </c>
      <c r="M332">
        <v>2.8899999999999999E-2</v>
      </c>
      <c r="N332">
        <v>0.79700000000000004</v>
      </c>
      <c r="O332">
        <v>0</v>
      </c>
      <c r="P332">
        <v>0.107</v>
      </c>
      <c r="Q332">
        <v>0.42099999999999999</v>
      </c>
      <c r="R332">
        <v>175.53700000000001</v>
      </c>
      <c r="S332">
        <v>4</v>
      </c>
      <c r="T332" t="s">
        <v>4</v>
      </c>
    </row>
    <row r="333" spans="1:20" x14ac:dyDescent="0.3">
      <c r="A333" t="s">
        <v>1002</v>
      </c>
      <c r="B333" t="s">
        <v>243</v>
      </c>
      <c r="C333" t="s">
        <v>26</v>
      </c>
      <c r="D333" t="s">
        <v>27</v>
      </c>
      <c r="E333">
        <v>57</v>
      </c>
      <c r="F333">
        <v>233266</v>
      </c>
      <c r="G333" t="b">
        <v>0</v>
      </c>
      <c r="H333">
        <v>0.44700000000000001</v>
      </c>
      <c r="I333">
        <v>0.158</v>
      </c>
      <c r="J333">
        <v>2</v>
      </c>
      <c r="K333">
        <v>-7.5709999999999997</v>
      </c>
      <c r="L333">
        <v>1</v>
      </c>
      <c r="M333">
        <v>3.5999999999999997E-2</v>
      </c>
      <c r="N333">
        <v>0.872</v>
      </c>
      <c r="O333" s="9" t="s">
        <v>593</v>
      </c>
      <c r="P333">
        <v>8.1600000000000006E-2</v>
      </c>
      <c r="Q333">
        <v>0.14199999999999999</v>
      </c>
      <c r="R333">
        <v>140.94200000000001</v>
      </c>
      <c r="S333">
        <v>3</v>
      </c>
      <c r="T333" t="s">
        <v>4</v>
      </c>
    </row>
    <row r="334" spans="1:20" x14ac:dyDescent="0.3">
      <c r="A334" t="s">
        <v>1003</v>
      </c>
      <c r="B334" t="s">
        <v>1004</v>
      </c>
      <c r="C334" t="s">
        <v>1005</v>
      </c>
      <c r="D334" t="s">
        <v>1005</v>
      </c>
      <c r="E334">
        <v>59</v>
      </c>
      <c r="F334">
        <v>193695</v>
      </c>
      <c r="G334" t="b">
        <v>0</v>
      </c>
      <c r="H334">
        <v>0.68700000000000006</v>
      </c>
      <c r="I334">
        <v>0.748</v>
      </c>
      <c r="J334">
        <v>3</v>
      </c>
      <c r="K334">
        <v>-4.54</v>
      </c>
      <c r="L334">
        <v>1</v>
      </c>
      <c r="M334">
        <v>7.85E-2</v>
      </c>
      <c r="N334">
        <v>0.24</v>
      </c>
      <c r="O334">
        <v>0</v>
      </c>
      <c r="P334">
        <v>0.373</v>
      </c>
      <c r="Q334">
        <v>0.872</v>
      </c>
      <c r="R334">
        <v>88.944000000000003</v>
      </c>
      <c r="S334">
        <v>4</v>
      </c>
      <c r="T334" t="s">
        <v>4</v>
      </c>
    </row>
    <row r="335" spans="1:20" x14ac:dyDescent="0.3">
      <c r="A335" t="s">
        <v>1006</v>
      </c>
      <c r="B335" t="s">
        <v>1007</v>
      </c>
      <c r="C335" t="s">
        <v>1008</v>
      </c>
      <c r="D335" t="s">
        <v>1009</v>
      </c>
      <c r="E335">
        <v>50</v>
      </c>
      <c r="F335">
        <v>205800</v>
      </c>
      <c r="G335" t="b">
        <v>0</v>
      </c>
      <c r="H335">
        <v>0.58799999999999997</v>
      </c>
      <c r="I335">
        <v>0.91400000000000003</v>
      </c>
      <c r="J335">
        <v>7</v>
      </c>
      <c r="K335">
        <v>-7.4420000000000002</v>
      </c>
      <c r="L335">
        <v>1</v>
      </c>
      <c r="M335">
        <v>3.4099999999999998E-2</v>
      </c>
      <c r="N335">
        <v>0.83199999999999996</v>
      </c>
      <c r="O335">
        <v>0.85599999999999998</v>
      </c>
      <c r="P335">
        <v>0.10299999999999999</v>
      </c>
      <c r="Q335">
        <v>0.97099999999999997</v>
      </c>
      <c r="R335">
        <v>128.553</v>
      </c>
      <c r="S335">
        <v>4</v>
      </c>
      <c r="T335" t="s">
        <v>4</v>
      </c>
    </row>
    <row r="336" spans="1:20" x14ac:dyDescent="0.3">
      <c r="A336" t="s">
        <v>1010</v>
      </c>
      <c r="B336" t="s">
        <v>164</v>
      </c>
      <c r="C336" t="s">
        <v>1011</v>
      </c>
      <c r="D336" t="s">
        <v>1012</v>
      </c>
      <c r="E336">
        <v>49</v>
      </c>
      <c r="F336">
        <v>272612</v>
      </c>
      <c r="G336" t="b">
        <v>0</v>
      </c>
      <c r="H336">
        <v>0.45600000000000002</v>
      </c>
      <c r="I336">
        <v>0.20499999999999999</v>
      </c>
      <c r="J336">
        <v>1</v>
      </c>
      <c r="K336">
        <v>-8.4369999999999994</v>
      </c>
      <c r="L336">
        <v>1</v>
      </c>
      <c r="M336">
        <v>3.1300000000000001E-2</v>
      </c>
      <c r="N336">
        <v>0.92</v>
      </c>
      <c r="O336">
        <v>1.1E-4</v>
      </c>
      <c r="P336">
        <v>0.14899999999999999</v>
      </c>
      <c r="Q336">
        <v>0.161</v>
      </c>
      <c r="R336">
        <v>117.663</v>
      </c>
      <c r="S336">
        <v>4</v>
      </c>
      <c r="T336" t="s">
        <v>4</v>
      </c>
    </row>
    <row r="337" spans="1:20" x14ac:dyDescent="0.3">
      <c r="A337" t="s">
        <v>1013</v>
      </c>
      <c r="B337" t="s">
        <v>560</v>
      </c>
      <c r="C337" t="s">
        <v>1014</v>
      </c>
      <c r="D337" t="s">
        <v>1015</v>
      </c>
      <c r="E337">
        <v>54</v>
      </c>
      <c r="F337">
        <v>211240</v>
      </c>
      <c r="G337" t="b">
        <v>0</v>
      </c>
      <c r="H337">
        <v>0.51200000000000001</v>
      </c>
      <c r="I337">
        <v>0.248</v>
      </c>
      <c r="J337">
        <v>2</v>
      </c>
      <c r="K337">
        <v>-10.359</v>
      </c>
      <c r="L337">
        <v>1</v>
      </c>
      <c r="M337">
        <v>2.75E-2</v>
      </c>
      <c r="N337">
        <v>0.75</v>
      </c>
      <c r="O337" s="9" t="s">
        <v>1016</v>
      </c>
      <c r="P337">
        <v>0.114</v>
      </c>
      <c r="Q337">
        <v>0.158</v>
      </c>
      <c r="R337">
        <v>109.69199999999999</v>
      </c>
      <c r="S337">
        <v>3</v>
      </c>
      <c r="T337" t="s">
        <v>4</v>
      </c>
    </row>
    <row r="338" spans="1:20" x14ac:dyDescent="0.3">
      <c r="A338" t="s">
        <v>1017</v>
      </c>
      <c r="B338" t="s">
        <v>388</v>
      </c>
      <c r="C338" t="s">
        <v>1018</v>
      </c>
      <c r="D338" t="s">
        <v>1018</v>
      </c>
      <c r="E338">
        <v>52</v>
      </c>
      <c r="F338">
        <v>204293</v>
      </c>
      <c r="G338" t="b">
        <v>0</v>
      </c>
      <c r="H338">
        <v>0.58199999999999996</v>
      </c>
      <c r="I338">
        <v>0.28199999999999997</v>
      </c>
      <c r="J338">
        <v>0</v>
      </c>
      <c r="K338">
        <v>-9.2289999999999992</v>
      </c>
      <c r="L338">
        <v>1</v>
      </c>
      <c r="M338">
        <v>3.1600000000000003E-2</v>
      </c>
      <c r="N338">
        <v>0.79300000000000004</v>
      </c>
      <c r="O338" s="9" t="s">
        <v>1019</v>
      </c>
      <c r="P338">
        <v>7.4399999999999994E-2</v>
      </c>
      <c r="Q338">
        <v>0.27800000000000002</v>
      </c>
      <c r="R338">
        <v>118.01900000000001</v>
      </c>
      <c r="S338">
        <v>4</v>
      </c>
      <c r="T338" t="s">
        <v>4</v>
      </c>
    </row>
    <row r="339" spans="1:20" x14ac:dyDescent="0.3">
      <c r="A339" t="s">
        <v>1020</v>
      </c>
      <c r="B339" t="s">
        <v>560</v>
      </c>
      <c r="C339" t="s">
        <v>561</v>
      </c>
      <c r="D339" t="s">
        <v>1021</v>
      </c>
      <c r="E339">
        <v>46</v>
      </c>
      <c r="F339">
        <v>252386</v>
      </c>
      <c r="G339" t="b">
        <v>0</v>
      </c>
      <c r="H339">
        <v>0.56799999999999995</v>
      </c>
      <c r="I339">
        <v>0.18</v>
      </c>
      <c r="J339">
        <v>7</v>
      </c>
      <c r="K339">
        <v>-11.707000000000001</v>
      </c>
      <c r="L339">
        <v>1</v>
      </c>
      <c r="M339">
        <v>2.8400000000000002E-2</v>
      </c>
      <c r="N339">
        <v>0.75800000000000001</v>
      </c>
      <c r="O339" s="9" t="s">
        <v>1022</v>
      </c>
      <c r="P339">
        <v>0.111</v>
      </c>
      <c r="Q339">
        <v>0.22800000000000001</v>
      </c>
      <c r="R339">
        <v>112.033</v>
      </c>
      <c r="S339">
        <v>4</v>
      </c>
      <c r="T339" t="s">
        <v>4</v>
      </c>
    </row>
    <row r="340" spans="1:20" x14ac:dyDescent="0.3">
      <c r="A340" t="s">
        <v>1023</v>
      </c>
      <c r="B340" t="s">
        <v>380</v>
      </c>
      <c r="C340" t="s">
        <v>860</v>
      </c>
      <c r="D340" t="s">
        <v>1024</v>
      </c>
      <c r="E340">
        <v>62</v>
      </c>
      <c r="F340">
        <v>203253</v>
      </c>
      <c r="G340" t="b">
        <v>0</v>
      </c>
      <c r="H340">
        <v>0.71</v>
      </c>
      <c r="I340">
        <v>0.27100000000000002</v>
      </c>
      <c r="J340">
        <v>7</v>
      </c>
      <c r="K340">
        <v>-9.5410000000000004</v>
      </c>
      <c r="L340">
        <v>1</v>
      </c>
      <c r="M340">
        <v>2.8299999999999999E-2</v>
      </c>
      <c r="N340">
        <v>0.65800000000000003</v>
      </c>
      <c r="O340" s="9" t="s">
        <v>1025</v>
      </c>
      <c r="P340">
        <v>0.115</v>
      </c>
      <c r="Q340">
        <v>0.68600000000000005</v>
      </c>
      <c r="R340">
        <v>131.88</v>
      </c>
      <c r="S340">
        <v>4</v>
      </c>
      <c r="T340" t="s">
        <v>4</v>
      </c>
    </row>
    <row r="341" spans="1:20" x14ac:dyDescent="0.3">
      <c r="A341" t="s">
        <v>1026</v>
      </c>
      <c r="B341" t="s">
        <v>1027</v>
      </c>
      <c r="C341" t="s">
        <v>1028</v>
      </c>
      <c r="D341" t="s">
        <v>1029</v>
      </c>
      <c r="E341">
        <v>32</v>
      </c>
      <c r="F341">
        <v>291332</v>
      </c>
      <c r="G341" t="b">
        <v>0</v>
      </c>
      <c r="H341">
        <v>0.57399999999999995</v>
      </c>
      <c r="I341">
        <v>0.70399999999999996</v>
      </c>
      <c r="J341">
        <v>0</v>
      </c>
      <c r="K341">
        <v>-4.6500000000000004</v>
      </c>
      <c r="L341">
        <v>1</v>
      </c>
      <c r="M341">
        <v>3.1800000000000002E-2</v>
      </c>
      <c r="N341">
        <v>9.3100000000000002E-2</v>
      </c>
      <c r="O341">
        <v>2.81E-4</v>
      </c>
      <c r="P341">
        <v>0.13600000000000001</v>
      </c>
      <c r="Q341">
        <v>0.33800000000000002</v>
      </c>
      <c r="R341">
        <v>117.086</v>
      </c>
      <c r="S341">
        <v>4</v>
      </c>
      <c r="T341" t="s">
        <v>4</v>
      </c>
    </row>
    <row r="342" spans="1:20" x14ac:dyDescent="0.3">
      <c r="A342" t="s">
        <v>1030</v>
      </c>
      <c r="B342" t="s">
        <v>874</v>
      </c>
      <c r="C342" t="s">
        <v>1031</v>
      </c>
      <c r="D342" t="s">
        <v>1032</v>
      </c>
      <c r="E342">
        <v>33</v>
      </c>
      <c r="F342">
        <v>172373</v>
      </c>
      <c r="G342" t="b">
        <v>0</v>
      </c>
      <c r="H342">
        <v>0.64</v>
      </c>
      <c r="I342">
        <v>0.89500000000000002</v>
      </c>
      <c r="J342">
        <v>9</v>
      </c>
      <c r="K342">
        <v>-3.0680000000000001</v>
      </c>
      <c r="L342">
        <v>1</v>
      </c>
      <c r="M342">
        <v>3.1600000000000003E-2</v>
      </c>
      <c r="N342">
        <v>0.27300000000000002</v>
      </c>
      <c r="O342">
        <v>0</v>
      </c>
      <c r="P342">
        <v>0.247</v>
      </c>
      <c r="Q342">
        <v>0.94</v>
      </c>
      <c r="R342">
        <v>115.941</v>
      </c>
      <c r="S342">
        <v>4</v>
      </c>
      <c r="T342" t="s">
        <v>4</v>
      </c>
    </row>
    <row r="343" spans="1:20" x14ac:dyDescent="0.3">
      <c r="A343" t="s">
        <v>1033</v>
      </c>
      <c r="B343" t="s">
        <v>1034</v>
      </c>
      <c r="C343" t="s">
        <v>1035</v>
      </c>
      <c r="D343" t="s">
        <v>1036</v>
      </c>
      <c r="E343">
        <v>58</v>
      </c>
      <c r="F343">
        <v>161328</v>
      </c>
      <c r="G343" t="b">
        <v>0</v>
      </c>
      <c r="H343">
        <v>0.66900000000000004</v>
      </c>
      <c r="I343">
        <v>0.85399999999999998</v>
      </c>
      <c r="J343">
        <v>4</v>
      </c>
      <c r="K343">
        <v>-5.899</v>
      </c>
      <c r="L343">
        <v>1</v>
      </c>
      <c r="M343">
        <v>4.3099999999999999E-2</v>
      </c>
      <c r="N343">
        <v>6.5299999999999997E-2</v>
      </c>
      <c r="O343">
        <v>0</v>
      </c>
      <c r="P343">
        <v>0.28799999999999998</v>
      </c>
      <c r="Q343">
        <v>0.70599999999999996</v>
      </c>
      <c r="R343">
        <v>120.035</v>
      </c>
      <c r="S343">
        <v>4</v>
      </c>
      <c r="T343" t="s">
        <v>4</v>
      </c>
    </row>
    <row r="344" spans="1:20" x14ac:dyDescent="0.3">
      <c r="A344" t="s">
        <v>1037</v>
      </c>
      <c r="B344" t="s">
        <v>1038</v>
      </c>
      <c r="C344" t="s">
        <v>1039</v>
      </c>
      <c r="D344" t="s">
        <v>1040</v>
      </c>
      <c r="E344">
        <v>57</v>
      </c>
      <c r="F344">
        <v>220306</v>
      </c>
      <c r="G344" t="b">
        <v>0</v>
      </c>
      <c r="H344">
        <v>0.61499999999999999</v>
      </c>
      <c r="I344">
        <v>0.35799999999999998</v>
      </c>
      <c r="J344">
        <v>5</v>
      </c>
      <c r="K344">
        <v>-9.6940000000000008</v>
      </c>
      <c r="L344">
        <v>1</v>
      </c>
      <c r="M344">
        <v>5.5199999999999999E-2</v>
      </c>
      <c r="N344">
        <v>0.70499999999999996</v>
      </c>
      <c r="O344">
        <v>0</v>
      </c>
      <c r="P344">
        <v>0.113</v>
      </c>
      <c r="Q344">
        <v>0.432</v>
      </c>
      <c r="R344">
        <v>146.06</v>
      </c>
      <c r="S344">
        <v>4</v>
      </c>
      <c r="T344" t="s">
        <v>4</v>
      </c>
    </row>
    <row r="345" spans="1:20" x14ac:dyDescent="0.3">
      <c r="A345" t="s">
        <v>1041</v>
      </c>
      <c r="B345" t="s">
        <v>1042</v>
      </c>
      <c r="C345" t="s">
        <v>1043</v>
      </c>
      <c r="D345" t="s">
        <v>1044</v>
      </c>
      <c r="E345">
        <v>34</v>
      </c>
      <c r="F345">
        <v>192392</v>
      </c>
      <c r="G345" t="b">
        <v>0</v>
      </c>
      <c r="H345">
        <v>0.41499999999999998</v>
      </c>
      <c r="I345">
        <v>0.61899999999999999</v>
      </c>
      <c r="J345">
        <v>2</v>
      </c>
      <c r="K345">
        <v>-7.6239999999999997</v>
      </c>
      <c r="L345">
        <v>0</v>
      </c>
      <c r="M345">
        <v>0.123</v>
      </c>
      <c r="N345">
        <v>0.94599999999999995</v>
      </c>
      <c r="O345" s="9" t="s">
        <v>1045</v>
      </c>
      <c r="P345">
        <v>0.79900000000000004</v>
      </c>
      <c r="Q345">
        <v>0.73899999999999999</v>
      </c>
      <c r="R345">
        <v>77.009</v>
      </c>
      <c r="S345">
        <v>4</v>
      </c>
      <c r="T345" t="s">
        <v>4</v>
      </c>
    </row>
    <row r="346" spans="1:20" x14ac:dyDescent="0.3">
      <c r="A346" t="s">
        <v>1046</v>
      </c>
      <c r="B346" t="s">
        <v>228</v>
      </c>
      <c r="C346" t="s">
        <v>282</v>
      </c>
      <c r="D346" t="s">
        <v>1047</v>
      </c>
      <c r="E346">
        <v>55</v>
      </c>
      <c r="F346">
        <v>207228</v>
      </c>
      <c r="G346" t="b">
        <v>0</v>
      </c>
      <c r="H346">
        <v>0.56499999999999995</v>
      </c>
      <c r="I346">
        <v>0.89500000000000002</v>
      </c>
      <c r="J346">
        <v>0</v>
      </c>
      <c r="K346">
        <v>-5.3540000000000001</v>
      </c>
      <c r="L346">
        <v>1</v>
      </c>
      <c r="M346">
        <v>0.04</v>
      </c>
      <c r="N346">
        <v>0.19400000000000001</v>
      </c>
      <c r="O346">
        <v>0</v>
      </c>
      <c r="P346">
        <v>0.10100000000000001</v>
      </c>
      <c r="Q346">
        <v>0.59199999999999997</v>
      </c>
      <c r="R346">
        <v>149.91900000000001</v>
      </c>
      <c r="S346">
        <v>4</v>
      </c>
      <c r="T346" t="s">
        <v>4</v>
      </c>
    </row>
    <row r="347" spans="1:20" x14ac:dyDescent="0.3">
      <c r="A347" t="s">
        <v>1048</v>
      </c>
      <c r="B347" t="s">
        <v>1049</v>
      </c>
      <c r="C347" t="s">
        <v>1050</v>
      </c>
      <c r="D347" t="s">
        <v>1051</v>
      </c>
      <c r="E347">
        <v>33</v>
      </c>
      <c r="F347">
        <v>122874</v>
      </c>
      <c r="G347" t="b">
        <v>0</v>
      </c>
      <c r="H347">
        <v>0.58599999999999997</v>
      </c>
      <c r="I347">
        <v>0.70199999999999996</v>
      </c>
      <c r="J347">
        <v>0</v>
      </c>
      <c r="K347">
        <v>-4.4180000000000001</v>
      </c>
      <c r="L347">
        <v>1</v>
      </c>
      <c r="M347">
        <v>0.13200000000000001</v>
      </c>
      <c r="N347">
        <v>0.59</v>
      </c>
      <c r="O347">
        <v>0</v>
      </c>
      <c r="P347">
        <v>0.14599999999999999</v>
      </c>
      <c r="Q347">
        <v>0.64400000000000002</v>
      </c>
      <c r="R347">
        <v>177.59800000000001</v>
      </c>
      <c r="S347">
        <v>4</v>
      </c>
      <c r="T347" t="s">
        <v>4</v>
      </c>
    </row>
    <row r="348" spans="1:20" x14ac:dyDescent="0.3">
      <c r="A348" t="s">
        <v>1052</v>
      </c>
      <c r="B348" t="s">
        <v>1053</v>
      </c>
      <c r="C348" t="s">
        <v>1054</v>
      </c>
      <c r="D348" t="s">
        <v>1055</v>
      </c>
      <c r="E348">
        <v>33</v>
      </c>
      <c r="F348">
        <v>223015</v>
      </c>
      <c r="G348" t="b">
        <v>0</v>
      </c>
      <c r="H348">
        <v>0.56399999999999995</v>
      </c>
      <c r="I348">
        <v>0.60399999999999998</v>
      </c>
      <c r="J348">
        <v>7</v>
      </c>
      <c r="K348">
        <v>-5.0549999999999997</v>
      </c>
      <c r="L348">
        <v>1</v>
      </c>
      <c r="M348">
        <v>5.4899999999999997E-2</v>
      </c>
      <c r="N348">
        <v>2.87E-2</v>
      </c>
      <c r="O348" s="9" t="s">
        <v>1056</v>
      </c>
      <c r="P348">
        <v>0.108</v>
      </c>
      <c r="Q348">
        <v>0.34100000000000003</v>
      </c>
      <c r="R348">
        <v>113.09099999999999</v>
      </c>
      <c r="S348">
        <v>4</v>
      </c>
      <c r="T348" t="s">
        <v>4</v>
      </c>
    </row>
    <row r="349" spans="1:20" x14ac:dyDescent="0.3">
      <c r="A349" t="s">
        <v>1057</v>
      </c>
      <c r="B349" t="s">
        <v>1058</v>
      </c>
      <c r="C349" t="s">
        <v>127</v>
      </c>
      <c r="D349" t="s">
        <v>1059</v>
      </c>
      <c r="E349">
        <v>0</v>
      </c>
      <c r="F349">
        <v>155000</v>
      </c>
      <c r="G349" t="b">
        <v>0</v>
      </c>
      <c r="H349">
        <v>0.54300000000000004</v>
      </c>
      <c r="I349">
        <v>0.35899999999999999</v>
      </c>
      <c r="J349">
        <v>8</v>
      </c>
      <c r="K349">
        <v>-6.5709999999999997</v>
      </c>
      <c r="L349">
        <v>1</v>
      </c>
      <c r="M349">
        <v>3.0200000000000001E-2</v>
      </c>
      <c r="N349">
        <v>0.65100000000000002</v>
      </c>
      <c r="O349">
        <v>0</v>
      </c>
      <c r="P349">
        <v>9.8100000000000007E-2</v>
      </c>
      <c r="Q349">
        <v>0.34599999999999997</v>
      </c>
      <c r="R349">
        <v>109.735</v>
      </c>
      <c r="S349">
        <v>4</v>
      </c>
      <c r="T349" t="s">
        <v>4</v>
      </c>
    </row>
    <row r="350" spans="1:20" x14ac:dyDescent="0.3">
      <c r="A350" t="s">
        <v>1060</v>
      </c>
      <c r="B350" t="s">
        <v>1058</v>
      </c>
      <c r="C350" t="s">
        <v>1061</v>
      </c>
      <c r="D350" t="s">
        <v>1059</v>
      </c>
      <c r="E350">
        <v>0</v>
      </c>
      <c r="F350">
        <v>155000</v>
      </c>
      <c r="G350" t="b">
        <v>0</v>
      </c>
      <c r="H350">
        <v>0.54300000000000004</v>
      </c>
      <c r="I350">
        <v>0.35899999999999999</v>
      </c>
      <c r="J350">
        <v>8</v>
      </c>
      <c r="K350">
        <v>-6.5709999999999997</v>
      </c>
      <c r="L350">
        <v>1</v>
      </c>
      <c r="M350">
        <v>3.0200000000000001E-2</v>
      </c>
      <c r="N350">
        <v>0.65100000000000002</v>
      </c>
      <c r="O350">
        <v>0</v>
      </c>
      <c r="P350">
        <v>9.8100000000000007E-2</v>
      </c>
      <c r="Q350">
        <v>0.34599999999999997</v>
      </c>
      <c r="R350">
        <v>109.735</v>
      </c>
      <c r="S350">
        <v>4</v>
      </c>
      <c r="T350" t="s">
        <v>4</v>
      </c>
    </row>
    <row r="351" spans="1:20" x14ac:dyDescent="0.3">
      <c r="A351" t="s">
        <v>1062</v>
      </c>
      <c r="B351" t="s">
        <v>1058</v>
      </c>
      <c r="C351" t="s">
        <v>294</v>
      </c>
      <c r="D351" t="s">
        <v>1059</v>
      </c>
      <c r="E351">
        <v>0</v>
      </c>
      <c r="F351">
        <v>155000</v>
      </c>
      <c r="G351" t="b">
        <v>0</v>
      </c>
      <c r="H351">
        <v>0.54300000000000004</v>
      </c>
      <c r="I351">
        <v>0.35899999999999999</v>
      </c>
      <c r="J351">
        <v>8</v>
      </c>
      <c r="K351">
        <v>-6.5709999999999997</v>
      </c>
      <c r="L351">
        <v>1</v>
      </c>
      <c r="M351">
        <v>3.0200000000000001E-2</v>
      </c>
      <c r="N351">
        <v>0.65100000000000002</v>
      </c>
      <c r="O351">
        <v>0</v>
      </c>
      <c r="P351">
        <v>9.8100000000000007E-2</v>
      </c>
      <c r="Q351">
        <v>0.34599999999999997</v>
      </c>
      <c r="R351">
        <v>109.735</v>
      </c>
      <c r="S351">
        <v>4</v>
      </c>
      <c r="T351" t="s">
        <v>4</v>
      </c>
    </row>
    <row r="352" spans="1:20" x14ac:dyDescent="0.3">
      <c r="A352" t="s">
        <v>1063</v>
      </c>
      <c r="B352" t="s">
        <v>644</v>
      </c>
      <c r="C352" t="s">
        <v>1064</v>
      </c>
      <c r="D352" t="s">
        <v>1065</v>
      </c>
      <c r="E352">
        <v>52</v>
      </c>
      <c r="F352">
        <v>224170</v>
      </c>
      <c r="G352" t="b">
        <v>0</v>
      </c>
      <c r="H352">
        <v>0.63800000000000001</v>
      </c>
      <c r="I352">
        <v>0.28699999999999998</v>
      </c>
      <c r="J352">
        <v>8</v>
      </c>
      <c r="K352">
        <v>-11.173999999999999</v>
      </c>
      <c r="L352">
        <v>0</v>
      </c>
      <c r="M352">
        <v>4.1200000000000001E-2</v>
      </c>
      <c r="N352">
        <v>0.81</v>
      </c>
      <c r="O352">
        <v>0</v>
      </c>
      <c r="P352">
        <v>8.0399999999999999E-2</v>
      </c>
      <c r="Q352">
        <v>0.44500000000000001</v>
      </c>
      <c r="R352">
        <v>128.02500000000001</v>
      </c>
      <c r="S352">
        <v>4</v>
      </c>
      <c r="T352" t="s">
        <v>4</v>
      </c>
    </row>
    <row r="353" spans="1:20" x14ac:dyDescent="0.3">
      <c r="A353" t="s">
        <v>1066</v>
      </c>
      <c r="B353" t="s">
        <v>1067</v>
      </c>
      <c r="C353" t="s">
        <v>1068</v>
      </c>
      <c r="D353" t="s">
        <v>1069</v>
      </c>
      <c r="E353">
        <v>21</v>
      </c>
      <c r="F353">
        <v>239004</v>
      </c>
      <c r="G353" t="b">
        <v>0</v>
      </c>
      <c r="H353">
        <v>0.51500000000000001</v>
      </c>
      <c r="I353">
        <v>0.46</v>
      </c>
      <c r="J353">
        <v>9</v>
      </c>
      <c r="K353">
        <v>-11.260999999999999</v>
      </c>
      <c r="L353">
        <v>0</v>
      </c>
      <c r="M353">
        <v>4.36E-2</v>
      </c>
      <c r="N353">
        <v>0.89100000000000001</v>
      </c>
      <c r="O353">
        <v>0.14000000000000001</v>
      </c>
      <c r="P353">
        <v>8.7400000000000005E-2</v>
      </c>
      <c r="Q353">
        <v>0.25900000000000001</v>
      </c>
      <c r="R353">
        <v>140.06700000000001</v>
      </c>
      <c r="S353">
        <v>4</v>
      </c>
      <c r="T353" t="s">
        <v>4</v>
      </c>
    </row>
    <row r="354" spans="1:20" x14ac:dyDescent="0.3">
      <c r="A354" t="s">
        <v>1070</v>
      </c>
      <c r="B354" t="s">
        <v>644</v>
      </c>
      <c r="C354" t="s">
        <v>1071</v>
      </c>
      <c r="D354" t="s">
        <v>1071</v>
      </c>
      <c r="E354">
        <v>50</v>
      </c>
      <c r="F354">
        <v>181311</v>
      </c>
      <c r="G354" t="b">
        <v>0</v>
      </c>
      <c r="H354">
        <v>0.622</v>
      </c>
      <c r="I354">
        <v>0.221</v>
      </c>
      <c r="J354">
        <v>9</v>
      </c>
      <c r="K354">
        <v>-14.335000000000001</v>
      </c>
      <c r="L354">
        <v>1</v>
      </c>
      <c r="M354">
        <v>5.8299999999999998E-2</v>
      </c>
      <c r="N354">
        <v>0.90100000000000002</v>
      </c>
      <c r="O354">
        <v>0</v>
      </c>
      <c r="P354">
        <v>0.107</v>
      </c>
      <c r="Q354">
        <v>0.29699999999999999</v>
      </c>
      <c r="R354">
        <v>131.827</v>
      </c>
      <c r="S354">
        <v>4</v>
      </c>
      <c r="T354" t="s">
        <v>4</v>
      </c>
    </row>
    <row r="355" spans="1:20" x14ac:dyDescent="0.3">
      <c r="A355" t="s">
        <v>1072</v>
      </c>
      <c r="B355" t="s">
        <v>1073</v>
      </c>
      <c r="C355" t="s">
        <v>1074</v>
      </c>
      <c r="D355" t="s">
        <v>1075</v>
      </c>
      <c r="E355">
        <v>55</v>
      </c>
      <c r="F355">
        <v>144653</v>
      </c>
      <c r="G355" t="b">
        <v>0</v>
      </c>
      <c r="H355">
        <v>0.44</v>
      </c>
      <c r="I355">
        <v>3.5299999999999998E-2</v>
      </c>
      <c r="J355">
        <v>6</v>
      </c>
      <c r="K355">
        <v>-20.858000000000001</v>
      </c>
      <c r="L355">
        <v>1</v>
      </c>
      <c r="M355">
        <v>5.2200000000000003E-2</v>
      </c>
      <c r="N355">
        <v>0.99</v>
      </c>
      <c r="O355">
        <v>3.1199999999999999E-3</v>
      </c>
      <c r="P355">
        <v>0.108</v>
      </c>
      <c r="Q355">
        <v>0.36199999999999999</v>
      </c>
      <c r="R355">
        <v>181.988</v>
      </c>
      <c r="S355">
        <v>4</v>
      </c>
      <c r="T355" t="s">
        <v>4</v>
      </c>
    </row>
    <row r="356" spans="1:20" x14ac:dyDescent="0.3">
      <c r="A356" t="s">
        <v>1076</v>
      </c>
      <c r="B356" t="s">
        <v>14</v>
      </c>
      <c r="C356" t="s">
        <v>1077</v>
      </c>
      <c r="D356" t="s">
        <v>1077</v>
      </c>
      <c r="E356">
        <v>46</v>
      </c>
      <c r="F356">
        <v>235135</v>
      </c>
      <c r="G356" t="b">
        <v>0</v>
      </c>
      <c r="H356">
        <v>0.45700000000000002</v>
      </c>
      <c r="I356">
        <v>6.4000000000000001E-2</v>
      </c>
      <c r="J356">
        <v>6</v>
      </c>
      <c r="K356">
        <v>-19.928000000000001</v>
      </c>
      <c r="L356">
        <v>1</v>
      </c>
      <c r="M356">
        <v>3.39E-2</v>
      </c>
      <c r="N356">
        <v>0.94099999999999995</v>
      </c>
      <c r="O356">
        <v>0.108</v>
      </c>
      <c r="P356">
        <v>0.107</v>
      </c>
      <c r="Q356">
        <v>6.4699999999999994E-2</v>
      </c>
      <c r="R356">
        <v>147.82400000000001</v>
      </c>
      <c r="S356">
        <v>3</v>
      </c>
      <c r="T356" t="s">
        <v>4</v>
      </c>
    </row>
    <row r="357" spans="1:20" x14ac:dyDescent="0.3">
      <c r="A357" t="s">
        <v>1078</v>
      </c>
      <c r="B357" t="s">
        <v>1079</v>
      </c>
      <c r="C357" t="s">
        <v>1080</v>
      </c>
      <c r="D357" t="s">
        <v>1081</v>
      </c>
      <c r="E357">
        <v>56</v>
      </c>
      <c r="F357">
        <v>248360</v>
      </c>
      <c r="G357" t="b">
        <v>0</v>
      </c>
      <c r="H357">
        <v>0.64900000000000002</v>
      </c>
      <c r="I357">
        <v>0.82099999999999995</v>
      </c>
      <c r="J357">
        <v>1</v>
      </c>
      <c r="K357">
        <v>-6.4829999999999997</v>
      </c>
      <c r="L357">
        <v>0</v>
      </c>
      <c r="M357">
        <v>3.1300000000000001E-2</v>
      </c>
      <c r="N357">
        <v>3.0200000000000001E-2</v>
      </c>
      <c r="O357">
        <v>1.4100000000000001E-4</v>
      </c>
      <c r="P357">
        <v>8.43E-2</v>
      </c>
      <c r="Q357">
        <v>0.66100000000000003</v>
      </c>
      <c r="R357">
        <v>121.938</v>
      </c>
      <c r="S357">
        <v>4</v>
      </c>
      <c r="T357" t="s">
        <v>4</v>
      </c>
    </row>
    <row r="358" spans="1:20" x14ac:dyDescent="0.3">
      <c r="A358" t="s">
        <v>1082</v>
      </c>
      <c r="B358" t="s">
        <v>1083</v>
      </c>
      <c r="C358" t="s">
        <v>1084</v>
      </c>
      <c r="D358" t="s">
        <v>1084</v>
      </c>
      <c r="E358">
        <v>40</v>
      </c>
      <c r="F358">
        <v>198344</v>
      </c>
      <c r="G358" t="b">
        <v>0</v>
      </c>
      <c r="H358">
        <v>0.495</v>
      </c>
      <c r="I358">
        <v>0.32900000000000001</v>
      </c>
      <c r="J358">
        <v>7</v>
      </c>
      <c r="K358">
        <v>-11.661</v>
      </c>
      <c r="L358">
        <v>1</v>
      </c>
      <c r="M358">
        <v>3.8600000000000002E-2</v>
      </c>
      <c r="N358">
        <v>0.65200000000000002</v>
      </c>
      <c r="O358" s="9" t="s">
        <v>1085</v>
      </c>
      <c r="P358">
        <v>6.0600000000000001E-2</v>
      </c>
      <c r="Q358">
        <v>9.1899999999999996E-2</v>
      </c>
      <c r="R358">
        <v>72.992000000000004</v>
      </c>
      <c r="S358">
        <v>4</v>
      </c>
      <c r="T358" t="s">
        <v>4</v>
      </c>
    </row>
    <row r="359" spans="1:20" x14ac:dyDescent="0.3">
      <c r="A359" t="s">
        <v>1086</v>
      </c>
      <c r="B359" t="s">
        <v>30</v>
      </c>
      <c r="C359" t="s">
        <v>1087</v>
      </c>
      <c r="D359" t="s">
        <v>1088</v>
      </c>
      <c r="E359">
        <v>21</v>
      </c>
      <c r="F359">
        <v>239697</v>
      </c>
      <c r="G359" t="b">
        <v>0</v>
      </c>
      <c r="H359">
        <v>0.71</v>
      </c>
      <c r="I359">
        <v>0.61499999999999999</v>
      </c>
      <c r="J359">
        <v>0</v>
      </c>
      <c r="K359">
        <v>-8.23</v>
      </c>
      <c r="L359">
        <v>1</v>
      </c>
      <c r="M359">
        <v>0.13300000000000001</v>
      </c>
      <c r="N359">
        <v>3.8399999999999997E-2</v>
      </c>
      <c r="O359">
        <v>0</v>
      </c>
      <c r="P359">
        <v>0.28299999999999997</v>
      </c>
      <c r="Q359">
        <v>0.746</v>
      </c>
      <c r="R359">
        <v>90.263000000000005</v>
      </c>
      <c r="S359">
        <v>4</v>
      </c>
      <c r="T359" t="s">
        <v>4</v>
      </c>
    </row>
    <row r="360" spans="1:20" x14ac:dyDescent="0.3">
      <c r="A360" t="s">
        <v>1089</v>
      </c>
      <c r="B360" t="s">
        <v>1090</v>
      </c>
      <c r="C360" t="s">
        <v>1091</v>
      </c>
      <c r="D360" t="s">
        <v>1091</v>
      </c>
      <c r="E360">
        <v>55</v>
      </c>
      <c r="F360">
        <v>186334</v>
      </c>
      <c r="G360" t="b">
        <v>0</v>
      </c>
      <c r="H360">
        <v>0.69</v>
      </c>
      <c r="I360">
        <v>0.20399999999999999</v>
      </c>
      <c r="J360">
        <v>7</v>
      </c>
      <c r="K360">
        <v>-12.427</v>
      </c>
      <c r="L360">
        <v>1</v>
      </c>
      <c r="M360">
        <v>3.0099999999999998E-2</v>
      </c>
      <c r="N360">
        <v>0.93200000000000005</v>
      </c>
      <c r="O360" s="9" t="s">
        <v>1092</v>
      </c>
      <c r="P360">
        <v>0.11899999999999999</v>
      </c>
      <c r="Q360">
        <v>0.52500000000000002</v>
      </c>
      <c r="R360">
        <v>139.58699999999999</v>
      </c>
      <c r="S360">
        <v>4</v>
      </c>
      <c r="T360" t="s">
        <v>4</v>
      </c>
    </row>
    <row r="361" spans="1:20" x14ac:dyDescent="0.3">
      <c r="A361" t="s">
        <v>1093</v>
      </c>
      <c r="B361" t="s">
        <v>805</v>
      </c>
      <c r="C361" t="s">
        <v>51</v>
      </c>
      <c r="D361" t="s">
        <v>51</v>
      </c>
      <c r="E361">
        <v>50</v>
      </c>
      <c r="F361">
        <v>226877</v>
      </c>
      <c r="G361" t="b">
        <v>0</v>
      </c>
      <c r="H361">
        <v>0.59599999999999997</v>
      </c>
      <c r="I361">
        <v>0.19500000000000001</v>
      </c>
      <c r="J361">
        <v>7</v>
      </c>
      <c r="K361">
        <v>-11.02</v>
      </c>
      <c r="L361">
        <v>1</v>
      </c>
      <c r="M361">
        <v>2.64E-2</v>
      </c>
      <c r="N361">
        <v>0.92600000000000005</v>
      </c>
      <c r="O361">
        <v>0</v>
      </c>
      <c r="P361">
        <v>0.13900000000000001</v>
      </c>
      <c r="Q361">
        <v>0.17599999999999999</v>
      </c>
      <c r="R361">
        <v>82.114000000000004</v>
      </c>
      <c r="S361">
        <v>4</v>
      </c>
      <c r="T361" t="s">
        <v>4</v>
      </c>
    </row>
    <row r="362" spans="1:20" x14ac:dyDescent="0.3">
      <c r="A362" t="s">
        <v>1094</v>
      </c>
      <c r="B362" t="s">
        <v>406</v>
      </c>
      <c r="C362" t="s">
        <v>1095</v>
      </c>
      <c r="D362" t="s">
        <v>1096</v>
      </c>
      <c r="E362">
        <v>41</v>
      </c>
      <c r="F362">
        <v>273260</v>
      </c>
      <c r="G362" t="b">
        <v>0</v>
      </c>
      <c r="H362">
        <v>0.66</v>
      </c>
      <c r="I362">
        <v>0.74299999999999999</v>
      </c>
      <c r="J362">
        <v>9</v>
      </c>
      <c r="K362">
        <v>-8.3019999999999996</v>
      </c>
      <c r="L362">
        <v>1</v>
      </c>
      <c r="M362">
        <v>5.0599999999999999E-2</v>
      </c>
      <c r="N362">
        <v>3.2899999999999999E-2</v>
      </c>
      <c r="O362">
        <v>1.3600000000000001E-3</v>
      </c>
      <c r="P362">
        <v>9.8000000000000004E-2</v>
      </c>
      <c r="Q362">
        <v>0.44500000000000001</v>
      </c>
      <c r="R362">
        <v>130.02500000000001</v>
      </c>
      <c r="S362">
        <v>4</v>
      </c>
      <c r="T362" t="s">
        <v>4</v>
      </c>
    </row>
    <row r="363" spans="1:20" x14ac:dyDescent="0.3">
      <c r="A363" t="s">
        <v>1097</v>
      </c>
      <c r="B363" t="s">
        <v>676</v>
      </c>
      <c r="C363" t="s">
        <v>1098</v>
      </c>
      <c r="D363" t="s">
        <v>1098</v>
      </c>
      <c r="E363">
        <v>44</v>
      </c>
      <c r="F363">
        <v>196920</v>
      </c>
      <c r="G363" t="b">
        <v>0</v>
      </c>
      <c r="H363">
        <v>0.73299999999999998</v>
      </c>
      <c r="I363">
        <v>0.65700000000000003</v>
      </c>
      <c r="J363">
        <v>2</v>
      </c>
      <c r="K363">
        <v>-6.843</v>
      </c>
      <c r="L363">
        <v>1</v>
      </c>
      <c r="M363">
        <v>2.7199999999999998E-2</v>
      </c>
      <c r="N363">
        <v>1.2999999999999999E-2</v>
      </c>
      <c r="O363" s="9" t="s">
        <v>1099</v>
      </c>
      <c r="P363">
        <v>0.317</v>
      </c>
      <c r="Q363">
        <v>0.433</v>
      </c>
      <c r="R363">
        <v>109.95399999999999</v>
      </c>
      <c r="S363">
        <v>4</v>
      </c>
      <c r="T363" t="s">
        <v>4</v>
      </c>
    </row>
    <row r="364" spans="1:20" x14ac:dyDescent="0.3">
      <c r="A364" t="s">
        <v>1100</v>
      </c>
      <c r="B364" t="s">
        <v>1101</v>
      </c>
      <c r="C364" t="s">
        <v>1102</v>
      </c>
      <c r="D364" t="s">
        <v>1103</v>
      </c>
      <c r="E364">
        <v>57</v>
      </c>
      <c r="F364">
        <v>145056</v>
      </c>
      <c r="G364" t="b">
        <v>0</v>
      </c>
      <c r="H364">
        <v>0.58899999999999997</v>
      </c>
      <c r="I364">
        <v>0.29599999999999999</v>
      </c>
      <c r="J364">
        <v>0</v>
      </c>
      <c r="K364">
        <v>-9.3350000000000009</v>
      </c>
      <c r="L364">
        <v>1</v>
      </c>
      <c r="M364">
        <v>8.3000000000000004E-2</v>
      </c>
      <c r="N364">
        <v>0.84199999999999997</v>
      </c>
      <c r="O364">
        <v>0</v>
      </c>
      <c r="P364">
        <v>7.3599999999999999E-2</v>
      </c>
      <c r="Q364">
        <v>0.61099999999999999</v>
      </c>
      <c r="R364">
        <v>165.79900000000001</v>
      </c>
      <c r="S364">
        <v>3</v>
      </c>
      <c r="T364" t="s">
        <v>4</v>
      </c>
    </row>
    <row r="365" spans="1:20" x14ac:dyDescent="0.3">
      <c r="A365" t="s">
        <v>1104</v>
      </c>
      <c r="B365" t="s">
        <v>1105</v>
      </c>
      <c r="C365" t="s">
        <v>1106</v>
      </c>
      <c r="D365" t="s">
        <v>1107</v>
      </c>
      <c r="E365">
        <v>33</v>
      </c>
      <c r="F365">
        <v>196026</v>
      </c>
      <c r="G365" t="b">
        <v>0</v>
      </c>
      <c r="H365">
        <v>0.68600000000000005</v>
      </c>
      <c r="I365">
        <v>0.377</v>
      </c>
      <c r="J365">
        <v>9</v>
      </c>
      <c r="K365">
        <v>-9.59</v>
      </c>
      <c r="L365">
        <v>1</v>
      </c>
      <c r="M365">
        <v>5.8900000000000001E-2</v>
      </c>
      <c r="N365">
        <v>0.63800000000000001</v>
      </c>
      <c r="O365">
        <v>0</v>
      </c>
      <c r="P365">
        <v>0.128</v>
      </c>
      <c r="Q365">
        <v>0.55100000000000005</v>
      </c>
      <c r="R365">
        <v>92.042000000000002</v>
      </c>
      <c r="S365">
        <v>4</v>
      </c>
      <c r="T365" t="s">
        <v>4</v>
      </c>
    </row>
    <row r="366" spans="1:20" x14ac:dyDescent="0.3">
      <c r="A366" t="s">
        <v>1108</v>
      </c>
      <c r="B366" t="s">
        <v>1109</v>
      </c>
      <c r="C366" t="s">
        <v>1110</v>
      </c>
      <c r="D366" t="s">
        <v>1111</v>
      </c>
      <c r="E366">
        <v>56</v>
      </c>
      <c r="F366">
        <v>193027</v>
      </c>
      <c r="G366" t="b">
        <v>0</v>
      </c>
      <c r="H366">
        <v>0.65900000000000003</v>
      </c>
      <c r="I366">
        <v>0.33800000000000002</v>
      </c>
      <c r="J366">
        <v>6</v>
      </c>
      <c r="K366">
        <v>-10.367000000000001</v>
      </c>
      <c r="L366">
        <v>0</v>
      </c>
      <c r="M366">
        <v>3.7600000000000001E-2</v>
      </c>
      <c r="N366">
        <v>0.84199999999999997</v>
      </c>
      <c r="O366">
        <v>0</v>
      </c>
      <c r="P366">
        <v>0.27700000000000002</v>
      </c>
      <c r="Q366">
        <v>0.495</v>
      </c>
      <c r="R366">
        <v>145.87700000000001</v>
      </c>
      <c r="S366">
        <v>4</v>
      </c>
      <c r="T366" t="s">
        <v>4</v>
      </c>
    </row>
    <row r="367" spans="1:20" x14ac:dyDescent="0.3">
      <c r="A367" t="s">
        <v>1112</v>
      </c>
      <c r="B367" t="s">
        <v>1113</v>
      </c>
      <c r="C367" t="s">
        <v>1114</v>
      </c>
      <c r="D367" t="s">
        <v>1115</v>
      </c>
      <c r="E367">
        <v>32</v>
      </c>
      <c r="F367">
        <v>233280</v>
      </c>
      <c r="G367" t="b">
        <v>0</v>
      </c>
      <c r="H367">
        <v>0.73199999999999998</v>
      </c>
      <c r="I367">
        <v>0.83</v>
      </c>
      <c r="J367">
        <v>0</v>
      </c>
      <c r="K367">
        <v>-6.63</v>
      </c>
      <c r="L367">
        <v>1</v>
      </c>
      <c r="M367">
        <v>3.09E-2</v>
      </c>
      <c r="N367">
        <v>0.20100000000000001</v>
      </c>
      <c r="O367" s="9" t="s">
        <v>1116</v>
      </c>
      <c r="P367">
        <v>8.0199999999999994E-2</v>
      </c>
      <c r="Q367">
        <v>0.871</v>
      </c>
      <c r="R367">
        <v>111.664</v>
      </c>
      <c r="S367">
        <v>4</v>
      </c>
      <c r="T367" t="s">
        <v>4</v>
      </c>
    </row>
    <row r="368" spans="1:20" x14ac:dyDescent="0.3">
      <c r="A368" t="s">
        <v>1117</v>
      </c>
      <c r="B368" t="s">
        <v>1118</v>
      </c>
      <c r="C368" t="s">
        <v>1119</v>
      </c>
      <c r="D368" t="s">
        <v>1120</v>
      </c>
      <c r="E368">
        <v>35</v>
      </c>
      <c r="F368">
        <v>213091</v>
      </c>
      <c r="G368" t="b">
        <v>0</v>
      </c>
      <c r="H368">
        <v>0.52200000000000002</v>
      </c>
      <c r="I368">
        <v>0.20200000000000001</v>
      </c>
      <c r="J368">
        <v>9</v>
      </c>
      <c r="K368">
        <v>-13.38</v>
      </c>
      <c r="L368">
        <v>1</v>
      </c>
      <c r="M368">
        <v>8.6099999999999996E-2</v>
      </c>
      <c r="N368">
        <v>0.91800000000000004</v>
      </c>
      <c r="O368">
        <v>0</v>
      </c>
      <c r="P368">
        <v>0.185</v>
      </c>
      <c r="Q368">
        <v>0.45700000000000002</v>
      </c>
      <c r="R368">
        <v>147.99199999999999</v>
      </c>
      <c r="S368">
        <v>4</v>
      </c>
      <c r="T368" t="s">
        <v>4</v>
      </c>
    </row>
    <row r="369" spans="1:20" x14ac:dyDescent="0.3">
      <c r="A369" t="s">
        <v>1121</v>
      </c>
      <c r="B369" t="s">
        <v>950</v>
      </c>
      <c r="C369" t="s">
        <v>951</v>
      </c>
      <c r="D369" t="s">
        <v>1122</v>
      </c>
      <c r="E369">
        <v>55</v>
      </c>
      <c r="F369">
        <v>253546</v>
      </c>
      <c r="G369" t="b">
        <v>0</v>
      </c>
      <c r="H369">
        <v>0.56499999999999995</v>
      </c>
      <c r="I369">
        <v>0.69799999999999995</v>
      </c>
      <c r="J369">
        <v>0</v>
      </c>
      <c r="K369">
        <v>-8.5960000000000001</v>
      </c>
      <c r="L369">
        <v>1</v>
      </c>
      <c r="M369">
        <v>2.9499999999999998E-2</v>
      </c>
      <c r="N369">
        <v>0.54</v>
      </c>
      <c r="O369">
        <v>1.83E-2</v>
      </c>
      <c r="P369">
        <v>0.124</v>
      </c>
      <c r="Q369">
        <v>0.155</v>
      </c>
      <c r="R369">
        <v>120.01300000000001</v>
      </c>
      <c r="S369">
        <v>4</v>
      </c>
      <c r="T369" t="s">
        <v>4</v>
      </c>
    </row>
    <row r="370" spans="1:20" x14ac:dyDescent="0.3">
      <c r="A370" t="s">
        <v>1123</v>
      </c>
      <c r="B370" t="s">
        <v>971</v>
      </c>
      <c r="C370" t="s">
        <v>1124</v>
      </c>
      <c r="D370" t="s">
        <v>1125</v>
      </c>
      <c r="E370">
        <v>33</v>
      </c>
      <c r="F370">
        <v>317400</v>
      </c>
      <c r="G370" t="b">
        <v>0</v>
      </c>
      <c r="H370">
        <v>0.47399999999999998</v>
      </c>
      <c r="I370">
        <v>0.40799999999999997</v>
      </c>
      <c r="J370">
        <v>7</v>
      </c>
      <c r="K370">
        <v>-11.42</v>
      </c>
      <c r="L370">
        <v>1</v>
      </c>
      <c r="M370">
        <v>3.32E-2</v>
      </c>
      <c r="N370">
        <v>0.60299999999999998</v>
      </c>
      <c r="O370" s="9" t="s">
        <v>1126</v>
      </c>
      <c r="P370">
        <v>0.104</v>
      </c>
      <c r="Q370">
        <v>0.23799999999999999</v>
      </c>
      <c r="R370">
        <v>143.881</v>
      </c>
      <c r="S370">
        <v>4</v>
      </c>
      <c r="T370" t="s">
        <v>4</v>
      </c>
    </row>
    <row r="371" spans="1:20" x14ac:dyDescent="0.3">
      <c r="A371" t="s">
        <v>1127</v>
      </c>
      <c r="B371" t="s">
        <v>1128</v>
      </c>
      <c r="C371" t="s">
        <v>1129</v>
      </c>
      <c r="D371" t="s">
        <v>1130</v>
      </c>
      <c r="E371">
        <v>46</v>
      </c>
      <c r="F371">
        <v>167616</v>
      </c>
      <c r="G371" t="b">
        <v>0</v>
      </c>
      <c r="H371">
        <v>0.54300000000000004</v>
      </c>
      <c r="I371">
        <v>0.24399999999999999</v>
      </c>
      <c r="J371">
        <v>0</v>
      </c>
      <c r="K371">
        <v>-8.0619999999999994</v>
      </c>
      <c r="L371">
        <v>1</v>
      </c>
      <c r="M371">
        <v>5.11E-2</v>
      </c>
      <c r="N371">
        <v>0.86399999999999999</v>
      </c>
      <c r="O371">
        <v>0</v>
      </c>
      <c r="P371">
        <v>0.112</v>
      </c>
      <c r="Q371">
        <v>0.28999999999999998</v>
      </c>
      <c r="R371">
        <v>126.34099999999999</v>
      </c>
      <c r="S371">
        <v>3</v>
      </c>
      <c r="T371" t="s">
        <v>4</v>
      </c>
    </row>
    <row r="372" spans="1:20" x14ac:dyDescent="0.3">
      <c r="A372" t="s">
        <v>1131</v>
      </c>
      <c r="B372" t="s">
        <v>6</v>
      </c>
      <c r="C372" t="s">
        <v>1132</v>
      </c>
      <c r="D372" t="s">
        <v>1132</v>
      </c>
      <c r="E372">
        <v>38</v>
      </c>
      <c r="F372">
        <v>211672</v>
      </c>
      <c r="G372" t="b">
        <v>0</v>
      </c>
      <c r="H372">
        <v>0.67200000000000004</v>
      </c>
      <c r="I372">
        <v>0.64400000000000002</v>
      </c>
      <c r="J372">
        <v>11</v>
      </c>
      <c r="K372">
        <v>-9.0630000000000006</v>
      </c>
      <c r="L372">
        <v>1</v>
      </c>
      <c r="M372">
        <v>0.23599999999999999</v>
      </c>
      <c r="N372">
        <v>0.79500000000000004</v>
      </c>
      <c r="O372">
        <v>0</v>
      </c>
      <c r="P372">
        <v>0.14599999999999999</v>
      </c>
      <c r="Q372">
        <v>0.54900000000000004</v>
      </c>
      <c r="R372">
        <v>148.13499999999999</v>
      </c>
      <c r="S372">
        <v>4</v>
      </c>
      <c r="T372" t="s">
        <v>4</v>
      </c>
    </row>
    <row r="373" spans="1:20" x14ac:dyDescent="0.3">
      <c r="A373" t="s">
        <v>1133</v>
      </c>
      <c r="B373" t="s">
        <v>589</v>
      </c>
      <c r="C373" t="s">
        <v>1134</v>
      </c>
      <c r="D373" t="s">
        <v>1134</v>
      </c>
      <c r="E373">
        <v>65</v>
      </c>
      <c r="F373">
        <v>274245</v>
      </c>
      <c r="G373" t="b">
        <v>0</v>
      </c>
      <c r="H373">
        <v>0.51500000000000001</v>
      </c>
      <c r="I373">
        <v>0.76900000000000002</v>
      </c>
      <c r="J373">
        <v>7</v>
      </c>
      <c r="K373">
        <v>-5.6959999999999997</v>
      </c>
      <c r="L373">
        <v>1</v>
      </c>
      <c r="M373">
        <v>3.1E-2</v>
      </c>
      <c r="N373">
        <v>4.5600000000000002E-2</v>
      </c>
      <c r="O373">
        <v>4.3600000000000002E-3</v>
      </c>
      <c r="P373">
        <v>9.6100000000000005E-2</v>
      </c>
      <c r="Q373">
        <v>0.64400000000000002</v>
      </c>
      <c r="R373">
        <v>153.04599999999999</v>
      </c>
      <c r="S373">
        <v>4</v>
      </c>
      <c r="T373" t="s">
        <v>4</v>
      </c>
    </row>
    <row r="374" spans="1:20" x14ac:dyDescent="0.3">
      <c r="A374" t="s">
        <v>1135</v>
      </c>
      <c r="B374" t="s">
        <v>1136</v>
      </c>
      <c r="C374" t="s">
        <v>1137</v>
      </c>
      <c r="D374" t="s">
        <v>1138</v>
      </c>
      <c r="E374">
        <v>60</v>
      </c>
      <c r="F374">
        <v>170040</v>
      </c>
      <c r="G374" t="b">
        <v>0</v>
      </c>
      <c r="H374">
        <v>0.75900000000000001</v>
      </c>
      <c r="I374">
        <v>0.68400000000000005</v>
      </c>
      <c r="J374">
        <v>0</v>
      </c>
      <c r="K374">
        <v>-5.7510000000000003</v>
      </c>
      <c r="L374">
        <v>1</v>
      </c>
      <c r="M374">
        <v>3.15E-2</v>
      </c>
      <c r="N374">
        <v>0.26900000000000002</v>
      </c>
      <c r="O374">
        <v>0</v>
      </c>
      <c r="P374">
        <v>0.13</v>
      </c>
      <c r="Q374">
        <v>0.75900000000000001</v>
      </c>
      <c r="R374">
        <v>107.94799999999999</v>
      </c>
      <c r="S374">
        <v>4</v>
      </c>
      <c r="T374" t="s">
        <v>4</v>
      </c>
    </row>
    <row r="375" spans="1:20" x14ac:dyDescent="0.3">
      <c r="A375" t="s">
        <v>1139</v>
      </c>
      <c r="B375" t="s">
        <v>319</v>
      </c>
      <c r="C375" t="s">
        <v>343</v>
      </c>
      <c r="D375" t="s">
        <v>1140</v>
      </c>
      <c r="E375">
        <v>54</v>
      </c>
      <c r="F375">
        <v>267765</v>
      </c>
      <c r="G375" t="b">
        <v>0</v>
      </c>
      <c r="H375">
        <v>0.62</v>
      </c>
      <c r="I375">
        <v>0.21</v>
      </c>
      <c r="J375">
        <v>11</v>
      </c>
      <c r="K375">
        <v>-9.6329999999999991</v>
      </c>
      <c r="L375">
        <v>0</v>
      </c>
      <c r="M375">
        <v>2.7400000000000001E-2</v>
      </c>
      <c r="N375">
        <v>0.91100000000000003</v>
      </c>
      <c r="O375" s="9" t="s">
        <v>1141</v>
      </c>
      <c r="P375">
        <v>0.108</v>
      </c>
      <c r="Q375">
        <v>0.16300000000000001</v>
      </c>
      <c r="R375">
        <v>98.558000000000007</v>
      </c>
      <c r="S375">
        <v>3</v>
      </c>
      <c r="T375" t="s">
        <v>4</v>
      </c>
    </row>
    <row r="376" spans="1:20" x14ac:dyDescent="0.3">
      <c r="A376" t="s">
        <v>1142</v>
      </c>
      <c r="B376" t="s">
        <v>1143</v>
      </c>
      <c r="C376" t="s">
        <v>1144</v>
      </c>
      <c r="D376" t="s">
        <v>1145</v>
      </c>
      <c r="E376">
        <v>37</v>
      </c>
      <c r="F376">
        <v>250146</v>
      </c>
      <c r="G376" t="b">
        <v>0</v>
      </c>
      <c r="H376">
        <v>0.497</v>
      </c>
      <c r="I376">
        <v>0.254</v>
      </c>
      <c r="J376">
        <v>8</v>
      </c>
      <c r="K376">
        <v>-11.715999999999999</v>
      </c>
      <c r="L376">
        <v>0</v>
      </c>
      <c r="M376">
        <v>3.4099999999999998E-2</v>
      </c>
      <c r="N376">
        <v>0.89100000000000001</v>
      </c>
      <c r="O376">
        <v>4.41E-2</v>
      </c>
      <c r="P376">
        <v>0.122</v>
      </c>
      <c r="Q376">
        <v>6.7599999999999993E-2</v>
      </c>
      <c r="R376">
        <v>110.864</v>
      </c>
      <c r="S376">
        <v>3</v>
      </c>
      <c r="T376" t="s">
        <v>4</v>
      </c>
    </row>
    <row r="377" spans="1:20" x14ac:dyDescent="0.3">
      <c r="A377" t="s">
        <v>1146</v>
      </c>
      <c r="B377" t="s">
        <v>971</v>
      </c>
      <c r="C377" t="s">
        <v>1124</v>
      </c>
      <c r="D377" t="s">
        <v>1147</v>
      </c>
      <c r="E377">
        <v>34</v>
      </c>
      <c r="F377">
        <v>290480</v>
      </c>
      <c r="G377" t="b">
        <v>0</v>
      </c>
      <c r="H377">
        <v>0.64400000000000002</v>
      </c>
      <c r="I377">
        <v>0.60299999999999998</v>
      </c>
      <c r="J377">
        <v>10</v>
      </c>
      <c r="K377">
        <v>-5.83</v>
      </c>
      <c r="L377">
        <v>1</v>
      </c>
      <c r="M377">
        <v>2.63E-2</v>
      </c>
      <c r="N377">
        <v>0.30599999999999999</v>
      </c>
      <c r="O377">
        <v>0</v>
      </c>
      <c r="P377">
        <v>0.26200000000000001</v>
      </c>
      <c r="Q377">
        <v>0.51600000000000001</v>
      </c>
      <c r="R377">
        <v>113.413</v>
      </c>
      <c r="S377">
        <v>4</v>
      </c>
      <c r="T377" t="s">
        <v>4</v>
      </c>
    </row>
    <row r="378" spans="1:20" x14ac:dyDescent="0.3">
      <c r="A378" t="s">
        <v>1148</v>
      </c>
      <c r="B378" t="s">
        <v>319</v>
      </c>
      <c r="C378" t="s">
        <v>72</v>
      </c>
      <c r="D378" t="s">
        <v>1149</v>
      </c>
      <c r="E378">
        <v>55</v>
      </c>
      <c r="F378">
        <v>198218</v>
      </c>
      <c r="G378" t="b">
        <v>0</v>
      </c>
      <c r="H378">
        <v>0.45</v>
      </c>
      <c r="I378">
        <v>0.254</v>
      </c>
      <c r="J378">
        <v>4</v>
      </c>
      <c r="K378">
        <v>-9.8729999999999993</v>
      </c>
      <c r="L378">
        <v>1</v>
      </c>
      <c r="M378">
        <v>4.1399999999999999E-2</v>
      </c>
      <c r="N378">
        <v>0.82699999999999996</v>
      </c>
      <c r="O378">
        <v>0</v>
      </c>
      <c r="P378">
        <v>0.20399999999999999</v>
      </c>
      <c r="Q378">
        <v>0.248</v>
      </c>
      <c r="R378">
        <v>92.644000000000005</v>
      </c>
      <c r="S378">
        <v>4</v>
      </c>
      <c r="T378" t="s">
        <v>4</v>
      </c>
    </row>
    <row r="379" spans="1:20" x14ac:dyDescent="0.3">
      <c r="A379" t="s">
        <v>1150</v>
      </c>
      <c r="B379" t="s">
        <v>205</v>
      </c>
      <c r="C379" t="s">
        <v>1151</v>
      </c>
      <c r="D379" t="s">
        <v>1152</v>
      </c>
      <c r="E379">
        <v>51</v>
      </c>
      <c r="F379">
        <v>225400</v>
      </c>
      <c r="G379" t="b">
        <v>0</v>
      </c>
      <c r="H379">
        <v>0.54800000000000004</v>
      </c>
      <c r="I379">
        <v>0.3</v>
      </c>
      <c r="J379">
        <v>4</v>
      </c>
      <c r="K379">
        <v>-12.71</v>
      </c>
      <c r="L379">
        <v>1</v>
      </c>
      <c r="M379">
        <v>2.98E-2</v>
      </c>
      <c r="N379">
        <v>0.75700000000000001</v>
      </c>
      <c r="O379" s="9" t="s">
        <v>1153</v>
      </c>
      <c r="P379">
        <v>8.5099999999999995E-2</v>
      </c>
      <c r="Q379">
        <v>0.26400000000000001</v>
      </c>
      <c r="R379">
        <v>135.90199999999999</v>
      </c>
      <c r="S379">
        <v>4</v>
      </c>
      <c r="T379" t="s">
        <v>4</v>
      </c>
    </row>
    <row r="380" spans="1:20" x14ac:dyDescent="0.3">
      <c r="A380" t="s">
        <v>1154</v>
      </c>
      <c r="B380" t="s">
        <v>1155</v>
      </c>
      <c r="C380" t="s">
        <v>1156</v>
      </c>
      <c r="D380" t="s">
        <v>1157</v>
      </c>
      <c r="E380">
        <v>48</v>
      </c>
      <c r="F380">
        <v>259877</v>
      </c>
      <c r="G380" t="b">
        <v>0</v>
      </c>
      <c r="H380">
        <v>0.52100000000000002</v>
      </c>
      <c r="I380">
        <v>0.50700000000000001</v>
      </c>
      <c r="J380">
        <v>7</v>
      </c>
      <c r="K380">
        <v>-7.0069999999999997</v>
      </c>
      <c r="L380">
        <v>1</v>
      </c>
      <c r="M380">
        <v>3.1899999999999998E-2</v>
      </c>
      <c r="N380">
        <v>1.6199999999999999E-2</v>
      </c>
      <c r="O380" s="9" t="s">
        <v>1158</v>
      </c>
      <c r="P380">
        <v>0.14799999999999999</v>
      </c>
      <c r="Q380">
        <v>0.153</v>
      </c>
      <c r="R380">
        <v>108.16800000000001</v>
      </c>
      <c r="S380">
        <v>4</v>
      </c>
      <c r="T380" t="s">
        <v>4</v>
      </c>
    </row>
    <row r="381" spans="1:20" x14ac:dyDescent="0.3">
      <c r="A381" t="s">
        <v>1159</v>
      </c>
      <c r="B381" t="s">
        <v>971</v>
      </c>
      <c r="C381" t="s">
        <v>1160</v>
      </c>
      <c r="D381" t="s">
        <v>1161</v>
      </c>
      <c r="E381">
        <v>34</v>
      </c>
      <c r="F381">
        <v>288426</v>
      </c>
      <c r="G381" t="b">
        <v>0</v>
      </c>
      <c r="H381">
        <v>0.58699999999999997</v>
      </c>
      <c r="I381">
        <v>0.84199999999999997</v>
      </c>
      <c r="J381">
        <v>4</v>
      </c>
      <c r="K381">
        <v>-6.04</v>
      </c>
      <c r="L381">
        <v>1</v>
      </c>
      <c r="M381">
        <v>2.6800000000000001E-2</v>
      </c>
      <c r="N381">
        <v>0.27800000000000002</v>
      </c>
      <c r="O381">
        <v>0</v>
      </c>
      <c r="P381">
        <v>0.16300000000000001</v>
      </c>
      <c r="Q381">
        <v>0.69299999999999995</v>
      </c>
      <c r="R381">
        <v>97.013000000000005</v>
      </c>
      <c r="S381">
        <v>4</v>
      </c>
      <c r="T381" t="s">
        <v>4</v>
      </c>
    </row>
    <row r="382" spans="1:20" x14ac:dyDescent="0.3">
      <c r="A382" t="s">
        <v>1162</v>
      </c>
      <c r="B382" t="s">
        <v>388</v>
      </c>
      <c r="C382" t="s">
        <v>1163</v>
      </c>
      <c r="D382" t="s">
        <v>1163</v>
      </c>
      <c r="E382">
        <v>51</v>
      </c>
      <c r="F382">
        <v>219363</v>
      </c>
      <c r="G382" t="b">
        <v>0</v>
      </c>
      <c r="H382">
        <v>0.54300000000000004</v>
      </c>
      <c r="I382">
        <v>0.32400000000000001</v>
      </c>
      <c r="J382">
        <v>0</v>
      </c>
      <c r="K382">
        <v>-11.257999999999999</v>
      </c>
      <c r="L382">
        <v>1</v>
      </c>
      <c r="M382">
        <v>3.1600000000000003E-2</v>
      </c>
      <c r="N382">
        <v>0.45200000000000001</v>
      </c>
      <c r="O382" s="9" t="s">
        <v>1164</v>
      </c>
      <c r="P382">
        <v>0.41199999999999998</v>
      </c>
      <c r="Q382">
        <v>0.18099999999999999</v>
      </c>
      <c r="R382">
        <v>139.88300000000001</v>
      </c>
      <c r="S382">
        <v>4</v>
      </c>
      <c r="T382" t="s">
        <v>4</v>
      </c>
    </row>
    <row r="383" spans="1:20" x14ac:dyDescent="0.3">
      <c r="A383" t="s">
        <v>1165</v>
      </c>
      <c r="B383" t="s">
        <v>238</v>
      </c>
      <c r="C383" t="s">
        <v>1166</v>
      </c>
      <c r="D383" t="s">
        <v>1166</v>
      </c>
      <c r="E383">
        <v>54</v>
      </c>
      <c r="F383">
        <v>208426</v>
      </c>
      <c r="G383" t="b">
        <v>0</v>
      </c>
      <c r="H383">
        <v>0.74199999999999999</v>
      </c>
      <c r="I383">
        <v>0.63600000000000001</v>
      </c>
      <c r="J383">
        <v>11</v>
      </c>
      <c r="K383">
        <v>-6.7439999999999998</v>
      </c>
      <c r="L383">
        <v>1</v>
      </c>
      <c r="M383">
        <v>3.3099999999999997E-2</v>
      </c>
      <c r="N383">
        <v>0.44600000000000001</v>
      </c>
      <c r="O383">
        <v>0</v>
      </c>
      <c r="P383">
        <v>8.1699999999999995E-2</v>
      </c>
      <c r="Q383">
        <v>0.48</v>
      </c>
      <c r="R383">
        <v>95.001999999999995</v>
      </c>
      <c r="S383">
        <v>4</v>
      </c>
      <c r="T383" t="s">
        <v>4</v>
      </c>
    </row>
    <row r="384" spans="1:20" x14ac:dyDescent="0.3">
      <c r="A384" t="s">
        <v>1167</v>
      </c>
      <c r="B384" t="s">
        <v>1168</v>
      </c>
      <c r="C384" t="s">
        <v>1169</v>
      </c>
      <c r="D384" t="s">
        <v>1169</v>
      </c>
      <c r="E384">
        <v>32</v>
      </c>
      <c r="F384">
        <v>283480</v>
      </c>
      <c r="G384" t="b">
        <v>0</v>
      </c>
      <c r="H384">
        <v>0.70699999999999996</v>
      </c>
      <c r="I384">
        <v>0.40200000000000002</v>
      </c>
      <c r="J384">
        <v>4</v>
      </c>
      <c r="K384">
        <v>-9.7729999999999997</v>
      </c>
      <c r="L384">
        <v>1</v>
      </c>
      <c r="M384">
        <v>2.5100000000000001E-2</v>
      </c>
      <c r="N384">
        <v>0.67700000000000005</v>
      </c>
      <c r="O384">
        <v>0</v>
      </c>
      <c r="P384">
        <v>0.104</v>
      </c>
      <c r="Q384">
        <v>0.313</v>
      </c>
      <c r="R384">
        <v>94.99</v>
      </c>
      <c r="S384">
        <v>4</v>
      </c>
      <c r="T384" t="s">
        <v>4</v>
      </c>
    </row>
    <row r="385" spans="1:20" x14ac:dyDescent="0.3">
      <c r="A385" t="s">
        <v>1170</v>
      </c>
      <c r="B385" t="s">
        <v>238</v>
      </c>
      <c r="C385" t="s">
        <v>652</v>
      </c>
      <c r="D385" t="s">
        <v>1171</v>
      </c>
      <c r="E385">
        <v>54</v>
      </c>
      <c r="F385">
        <v>205586</v>
      </c>
      <c r="G385" t="b">
        <v>0</v>
      </c>
      <c r="H385">
        <v>0.52</v>
      </c>
      <c r="I385">
        <v>0.308</v>
      </c>
      <c r="J385">
        <v>7</v>
      </c>
      <c r="K385">
        <v>-11.996</v>
      </c>
      <c r="L385">
        <v>1</v>
      </c>
      <c r="M385">
        <v>3.3099999999999997E-2</v>
      </c>
      <c r="N385">
        <v>0.77600000000000002</v>
      </c>
      <c r="O385">
        <v>2.8500000000000001E-3</v>
      </c>
      <c r="P385">
        <v>0.115</v>
      </c>
      <c r="Q385">
        <v>0.187</v>
      </c>
      <c r="R385">
        <v>125.93</v>
      </c>
      <c r="S385">
        <v>3</v>
      </c>
      <c r="T385" t="s">
        <v>4</v>
      </c>
    </row>
    <row r="386" spans="1:20" x14ac:dyDescent="0.3">
      <c r="A386" t="s">
        <v>1172</v>
      </c>
      <c r="B386" t="s">
        <v>1173</v>
      </c>
      <c r="C386" t="s">
        <v>716</v>
      </c>
      <c r="D386" t="s">
        <v>1174</v>
      </c>
      <c r="E386">
        <v>61</v>
      </c>
      <c r="F386">
        <v>304293</v>
      </c>
      <c r="G386" t="b">
        <v>0</v>
      </c>
      <c r="H386">
        <v>0.39200000000000002</v>
      </c>
      <c r="I386">
        <v>0.251</v>
      </c>
      <c r="J386">
        <v>10</v>
      </c>
      <c r="K386">
        <v>-9.8450000000000006</v>
      </c>
      <c r="L386">
        <v>1</v>
      </c>
      <c r="M386">
        <v>3.6299999999999999E-2</v>
      </c>
      <c r="N386">
        <v>0.80700000000000005</v>
      </c>
      <c r="O386">
        <v>0</v>
      </c>
      <c r="P386">
        <v>7.9699999999999993E-2</v>
      </c>
      <c r="Q386">
        <v>0.50800000000000001</v>
      </c>
      <c r="R386">
        <v>204.96100000000001</v>
      </c>
      <c r="S386">
        <v>4</v>
      </c>
      <c r="T386" t="s">
        <v>4</v>
      </c>
    </row>
    <row r="387" spans="1:20" x14ac:dyDescent="0.3">
      <c r="A387" t="s">
        <v>1175</v>
      </c>
      <c r="B387" t="s">
        <v>319</v>
      </c>
      <c r="C387" t="s">
        <v>716</v>
      </c>
      <c r="D387" t="s">
        <v>1176</v>
      </c>
      <c r="E387">
        <v>55</v>
      </c>
      <c r="F387">
        <v>239573</v>
      </c>
      <c r="G387" t="b">
        <v>0</v>
      </c>
      <c r="H387">
        <v>0.53100000000000003</v>
      </c>
      <c r="I387">
        <v>0.29599999999999999</v>
      </c>
      <c r="J387">
        <v>1</v>
      </c>
      <c r="K387">
        <v>-7.5940000000000003</v>
      </c>
      <c r="L387">
        <v>1</v>
      </c>
      <c r="M387">
        <v>3.04E-2</v>
      </c>
      <c r="N387">
        <v>0.84</v>
      </c>
      <c r="O387">
        <v>0</v>
      </c>
      <c r="P387">
        <v>0.124</v>
      </c>
      <c r="Q387">
        <v>0.21199999999999999</v>
      </c>
      <c r="R387">
        <v>106.35899999999999</v>
      </c>
      <c r="S387">
        <v>4</v>
      </c>
      <c r="T387" t="s">
        <v>4</v>
      </c>
    </row>
    <row r="388" spans="1:20" x14ac:dyDescent="0.3">
      <c r="A388" t="s">
        <v>1177</v>
      </c>
      <c r="B388" t="s">
        <v>164</v>
      </c>
      <c r="C388" t="s">
        <v>1011</v>
      </c>
      <c r="D388" t="s">
        <v>1011</v>
      </c>
      <c r="E388">
        <v>55</v>
      </c>
      <c r="F388">
        <v>227128</v>
      </c>
      <c r="G388" t="b">
        <v>0</v>
      </c>
      <c r="H388">
        <v>0.68100000000000005</v>
      </c>
      <c r="I388">
        <v>0.60799999999999998</v>
      </c>
      <c r="J388">
        <v>8</v>
      </c>
      <c r="K388">
        <v>-8.3689999999999998</v>
      </c>
      <c r="L388">
        <v>1</v>
      </c>
      <c r="M388">
        <v>3.39E-2</v>
      </c>
      <c r="N388">
        <v>0.62</v>
      </c>
      <c r="O388">
        <v>4.2499999999999998E-4</v>
      </c>
      <c r="P388">
        <v>0.13600000000000001</v>
      </c>
      <c r="Q388">
        <v>0.315</v>
      </c>
      <c r="R388">
        <v>123.991</v>
      </c>
      <c r="S388">
        <v>4</v>
      </c>
      <c r="T388" t="s">
        <v>4</v>
      </c>
    </row>
    <row r="389" spans="1:20" x14ac:dyDescent="0.3">
      <c r="A389" t="s">
        <v>1178</v>
      </c>
      <c r="B389" t="s">
        <v>971</v>
      </c>
      <c r="C389" t="s">
        <v>1179</v>
      </c>
      <c r="D389" t="s">
        <v>1180</v>
      </c>
      <c r="E389">
        <v>34</v>
      </c>
      <c r="F389">
        <v>243066</v>
      </c>
      <c r="G389" t="b">
        <v>0</v>
      </c>
      <c r="H389">
        <v>0.56899999999999995</v>
      </c>
      <c r="I389">
        <v>0.86099999999999999</v>
      </c>
      <c r="J389">
        <v>1</v>
      </c>
      <c r="K389">
        <v>-4.5469999999999997</v>
      </c>
      <c r="L389">
        <v>0</v>
      </c>
      <c r="M389">
        <v>4.0599999999999997E-2</v>
      </c>
      <c r="N389">
        <v>4.2500000000000003E-2</v>
      </c>
      <c r="O389">
        <v>0</v>
      </c>
      <c r="P389">
        <v>0.20399999999999999</v>
      </c>
      <c r="Q389">
        <v>0.51100000000000001</v>
      </c>
      <c r="R389">
        <v>77.983000000000004</v>
      </c>
      <c r="S389">
        <v>4</v>
      </c>
      <c r="T389" t="s">
        <v>4</v>
      </c>
    </row>
    <row r="390" spans="1:20" x14ac:dyDescent="0.3">
      <c r="A390" t="s">
        <v>1181</v>
      </c>
      <c r="B390" t="s">
        <v>1182</v>
      </c>
      <c r="C390" t="s">
        <v>1183</v>
      </c>
      <c r="D390" t="s">
        <v>1184</v>
      </c>
      <c r="E390">
        <v>33</v>
      </c>
      <c r="F390">
        <v>369200</v>
      </c>
      <c r="G390" t="b">
        <v>0</v>
      </c>
      <c r="H390">
        <v>0.70699999999999996</v>
      </c>
      <c r="I390">
        <v>0.29599999999999999</v>
      </c>
      <c r="J390">
        <v>7</v>
      </c>
      <c r="K390">
        <v>-11.632999999999999</v>
      </c>
      <c r="L390">
        <v>1</v>
      </c>
      <c r="M390">
        <v>7.8E-2</v>
      </c>
      <c r="N390">
        <v>0.28299999999999997</v>
      </c>
      <c r="O390">
        <v>0</v>
      </c>
      <c r="P390">
        <v>6.0100000000000001E-2</v>
      </c>
      <c r="Q390">
        <v>0.65</v>
      </c>
      <c r="R390">
        <v>88.006</v>
      </c>
      <c r="S390">
        <v>4</v>
      </c>
      <c r="T390" t="s">
        <v>4</v>
      </c>
    </row>
    <row r="391" spans="1:20" x14ac:dyDescent="0.3">
      <c r="A391" t="s">
        <v>1185</v>
      </c>
      <c r="B391" t="s">
        <v>1186</v>
      </c>
      <c r="C391" t="s">
        <v>1187</v>
      </c>
      <c r="D391" t="s">
        <v>1188</v>
      </c>
      <c r="E391">
        <v>45</v>
      </c>
      <c r="F391">
        <v>77093</v>
      </c>
      <c r="G391" t="b">
        <v>0</v>
      </c>
      <c r="H391">
        <v>0.51900000000000002</v>
      </c>
      <c r="I391">
        <v>6.4600000000000005E-2</v>
      </c>
      <c r="J391">
        <v>2</v>
      </c>
      <c r="K391">
        <v>-18.898</v>
      </c>
      <c r="L391">
        <v>1</v>
      </c>
      <c r="M391">
        <v>4.3299999999999998E-2</v>
      </c>
      <c r="N391">
        <v>0.98199999999999998</v>
      </c>
      <c r="O391" s="9" t="s">
        <v>1189</v>
      </c>
      <c r="P391">
        <v>0.105</v>
      </c>
      <c r="Q391">
        <v>0.39500000000000002</v>
      </c>
      <c r="R391">
        <v>121.696</v>
      </c>
      <c r="S391">
        <v>4</v>
      </c>
      <c r="T391" t="s">
        <v>4</v>
      </c>
    </row>
    <row r="392" spans="1:20" x14ac:dyDescent="0.3">
      <c r="A392" t="s">
        <v>1190</v>
      </c>
      <c r="B392" t="s">
        <v>1182</v>
      </c>
      <c r="C392" t="s">
        <v>1191</v>
      </c>
      <c r="D392" t="s">
        <v>1192</v>
      </c>
      <c r="E392">
        <v>33</v>
      </c>
      <c r="F392">
        <v>244840</v>
      </c>
      <c r="G392" t="b">
        <v>0</v>
      </c>
      <c r="H392">
        <v>0.60799999999999998</v>
      </c>
      <c r="I392">
        <v>0.70499999999999996</v>
      </c>
      <c r="J392">
        <v>3</v>
      </c>
      <c r="K392">
        <v>-5.1779999999999999</v>
      </c>
      <c r="L392">
        <v>1</v>
      </c>
      <c r="M392">
        <v>2.53E-2</v>
      </c>
      <c r="N392">
        <v>7.8E-2</v>
      </c>
      <c r="O392" s="9" t="s">
        <v>1193</v>
      </c>
      <c r="P392">
        <v>0.17899999999999999</v>
      </c>
      <c r="Q392">
        <v>0.621</v>
      </c>
      <c r="R392">
        <v>111.20399999999999</v>
      </c>
      <c r="S392">
        <v>4</v>
      </c>
      <c r="T392" t="s">
        <v>4</v>
      </c>
    </row>
    <row r="393" spans="1:20" x14ac:dyDescent="0.3">
      <c r="A393" t="s">
        <v>1194</v>
      </c>
      <c r="B393" t="s">
        <v>971</v>
      </c>
      <c r="C393" t="s">
        <v>1195</v>
      </c>
      <c r="D393" t="s">
        <v>1195</v>
      </c>
      <c r="E393">
        <v>34</v>
      </c>
      <c r="F393">
        <v>275266</v>
      </c>
      <c r="G393" t="b">
        <v>0</v>
      </c>
      <c r="H393">
        <v>0.58499999999999996</v>
      </c>
      <c r="I393">
        <v>0.73399999999999999</v>
      </c>
      <c r="J393">
        <v>9</v>
      </c>
      <c r="K393">
        <v>-5.3650000000000002</v>
      </c>
      <c r="L393">
        <v>1</v>
      </c>
      <c r="M393">
        <v>3.2000000000000001E-2</v>
      </c>
      <c r="N393">
        <v>3.3399999999999999E-2</v>
      </c>
      <c r="O393">
        <v>0</v>
      </c>
      <c r="P393">
        <v>9.3399999999999997E-2</v>
      </c>
      <c r="Q393">
        <v>0.41299999999999998</v>
      </c>
      <c r="R393">
        <v>117.84</v>
      </c>
      <c r="S393">
        <v>4</v>
      </c>
      <c r="T393" t="s">
        <v>4</v>
      </c>
    </row>
    <row r="394" spans="1:20" x14ac:dyDescent="0.3">
      <c r="A394" t="s">
        <v>1196</v>
      </c>
      <c r="B394" t="s">
        <v>971</v>
      </c>
      <c r="C394" t="s">
        <v>1197</v>
      </c>
      <c r="D394" t="s">
        <v>1198</v>
      </c>
      <c r="E394">
        <v>34</v>
      </c>
      <c r="F394">
        <v>330720</v>
      </c>
      <c r="G394" t="b">
        <v>0</v>
      </c>
      <c r="H394">
        <v>0.52700000000000002</v>
      </c>
      <c r="I394">
        <v>0.89</v>
      </c>
      <c r="J394">
        <v>7</v>
      </c>
      <c r="K394">
        <v>-5.6509999999999998</v>
      </c>
      <c r="L394">
        <v>1</v>
      </c>
      <c r="M394">
        <v>6.6500000000000004E-2</v>
      </c>
      <c r="N394">
        <v>4.3299999999999996E-3</v>
      </c>
      <c r="O394">
        <v>0</v>
      </c>
      <c r="P394">
        <v>0.11799999999999999</v>
      </c>
      <c r="Q394">
        <v>0.42499999999999999</v>
      </c>
      <c r="R394">
        <v>102.64400000000001</v>
      </c>
      <c r="S394">
        <v>4</v>
      </c>
      <c r="T394" t="s">
        <v>4</v>
      </c>
    </row>
    <row r="395" spans="1:20" x14ac:dyDescent="0.3">
      <c r="A395" t="s">
        <v>1199</v>
      </c>
      <c r="B395" t="s">
        <v>243</v>
      </c>
      <c r="C395" t="s">
        <v>80</v>
      </c>
      <c r="D395" t="s">
        <v>1200</v>
      </c>
      <c r="E395">
        <v>49</v>
      </c>
      <c r="F395">
        <v>163960</v>
      </c>
      <c r="G395" t="b">
        <v>0</v>
      </c>
      <c r="H395">
        <v>0.495</v>
      </c>
      <c r="I395">
        <v>0.22</v>
      </c>
      <c r="J395">
        <v>5</v>
      </c>
      <c r="K395">
        <v>-11.16</v>
      </c>
      <c r="L395">
        <v>1</v>
      </c>
      <c r="M395">
        <v>3.5499999999999997E-2</v>
      </c>
      <c r="N395">
        <v>0.84699999999999998</v>
      </c>
      <c r="O395" s="9" t="s">
        <v>1201</v>
      </c>
      <c r="P395">
        <v>9.5699999999999993E-2</v>
      </c>
      <c r="Q395">
        <v>0.34499999999999997</v>
      </c>
      <c r="R395">
        <v>126.61799999999999</v>
      </c>
      <c r="S395">
        <v>4</v>
      </c>
      <c r="T395" t="s">
        <v>4</v>
      </c>
    </row>
    <row r="396" spans="1:20" x14ac:dyDescent="0.3">
      <c r="A396" t="s">
        <v>1202</v>
      </c>
      <c r="B396" t="s">
        <v>1203</v>
      </c>
      <c r="C396" t="s">
        <v>1204</v>
      </c>
      <c r="D396" t="s">
        <v>1204</v>
      </c>
      <c r="E396">
        <v>33</v>
      </c>
      <c r="F396">
        <v>193874</v>
      </c>
      <c r="G396" t="b">
        <v>0</v>
      </c>
      <c r="H396">
        <v>0.628</v>
      </c>
      <c r="I396">
        <v>0.42399999999999999</v>
      </c>
      <c r="J396">
        <v>6</v>
      </c>
      <c r="K396">
        <v>-8.5389999999999997</v>
      </c>
      <c r="L396">
        <v>1</v>
      </c>
      <c r="M396">
        <v>4.1599999999999998E-2</v>
      </c>
      <c r="N396">
        <v>0.39500000000000002</v>
      </c>
      <c r="O396" s="9" t="s">
        <v>1205</v>
      </c>
      <c r="P396">
        <v>0.106</v>
      </c>
      <c r="Q396">
        <v>0.157</v>
      </c>
      <c r="R396">
        <v>99.695999999999998</v>
      </c>
      <c r="S396">
        <v>1</v>
      </c>
      <c r="T396" t="s">
        <v>4</v>
      </c>
    </row>
    <row r="397" spans="1:20" x14ac:dyDescent="0.3">
      <c r="A397" t="s">
        <v>1206</v>
      </c>
      <c r="B397" t="s">
        <v>120</v>
      </c>
      <c r="C397" t="s">
        <v>1207</v>
      </c>
      <c r="D397" t="s">
        <v>1208</v>
      </c>
      <c r="E397">
        <v>62</v>
      </c>
      <c r="F397">
        <v>213732</v>
      </c>
      <c r="G397" t="b">
        <v>0</v>
      </c>
      <c r="H397">
        <v>0.63900000000000001</v>
      </c>
      <c r="I397">
        <v>0.66600000000000004</v>
      </c>
      <c r="J397">
        <v>0</v>
      </c>
      <c r="K397">
        <v>-7.7750000000000004</v>
      </c>
      <c r="L397">
        <v>1</v>
      </c>
      <c r="M397">
        <v>6.3600000000000004E-2</v>
      </c>
      <c r="N397">
        <v>0.27100000000000002</v>
      </c>
      <c r="O397">
        <v>0</v>
      </c>
      <c r="P397">
        <v>0.111</v>
      </c>
      <c r="Q397">
        <v>0.372</v>
      </c>
      <c r="R397">
        <v>98.384</v>
      </c>
      <c r="S397">
        <v>4</v>
      </c>
      <c r="T397" t="s">
        <v>4</v>
      </c>
    </row>
    <row r="398" spans="1:20" x14ac:dyDescent="0.3">
      <c r="A398" t="s">
        <v>1209</v>
      </c>
      <c r="B398" t="s">
        <v>1210</v>
      </c>
      <c r="C398" t="s">
        <v>1211</v>
      </c>
      <c r="D398" t="s">
        <v>1212</v>
      </c>
      <c r="E398">
        <v>33</v>
      </c>
      <c r="F398">
        <v>227053</v>
      </c>
      <c r="G398" t="b">
        <v>0</v>
      </c>
      <c r="H398">
        <v>0.245</v>
      </c>
      <c r="I398">
        <v>0.624</v>
      </c>
      <c r="J398">
        <v>2</v>
      </c>
      <c r="K398">
        <v>-5.6059999999999999</v>
      </c>
      <c r="L398">
        <v>1</v>
      </c>
      <c r="M398">
        <v>3.6799999999999999E-2</v>
      </c>
      <c r="N398">
        <v>0.11</v>
      </c>
      <c r="O398">
        <v>0</v>
      </c>
      <c r="P398">
        <v>0.36299999999999999</v>
      </c>
      <c r="Q398">
        <v>0.46200000000000002</v>
      </c>
      <c r="R398">
        <v>162.58600000000001</v>
      </c>
      <c r="S398">
        <v>3</v>
      </c>
      <c r="T398" t="s">
        <v>4</v>
      </c>
    </row>
    <row r="399" spans="1:20" x14ac:dyDescent="0.3">
      <c r="A399" t="s">
        <v>1213</v>
      </c>
      <c r="B399" t="s">
        <v>1053</v>
      </c>
      <c r="C399" t="s">
        <v>1214</v>
      </c>
      <c r="D399" t="s">
        <v>1215</v>
      </c>
      <c r="E399">
        <v>31</v>
      </c>
      <c r="F399">
        <v>215440</v>
      </c>
      <c r="G399" t="b">
        <v>0</v>
      </c>
      <c r="H399">
        <v>0.38700000000000001</v>
      </c>
      <c r="I399">
        <v>0.52600000000000002</v>
      </c>
      <c r="J399">
        <v>9</v>
      </c>
      <c r="K399">
        <v>-7.6109999999999998</v>
      </c>
      <c r="L399">
        <v>0</v>
      </c>
      <c r="M399">
        <v>3.0099999999999998E-2</v>
      </c>
      <c r="N399">
        <v>0.24399999999999999</v>
      </c>
      <c r="O399">
        <v>3.86E-4</v>
      </c>
      <c r="P399">
        <v>0.105</v>
      </c>
      <c r="Q399">
        <v>0.33400000000000002</v>
      </c>
      <c r="R399">
        <v>130.71899999999999</v>
      </c>
      <c r="S399">
        <v>4</v>
      </c>
      <c r="T399" t="s">
        <v>4</v>
      </c>
    </row>
    <row r="400" spans="1:20" x14ac:dyDescent="0.3">
      <c r="A400" t="s">
        <v>1216</v>
      </c>
      <c r="B400" t="s">
        <v>749</v>
      </c>
      <c r="C400" t="s">
        <v>1217</v>
      </c>
      <c r="D400" t="s">
        <v>1218</v>
      </c>
      <c r="E400">
        <v>32</v>
      </c>
      <c r="F400">
        <v>136543</v>
      </c>
      <c r="G400" t="b">
        <v>0</v>
      </c>
      <c r="H400">
        <v>0.53900000000000003</v>
      </c>
      <c r="I400">
        <v>0.67500000000000004</v>
      </c>
      <c r="J400">
        <v>2</v>
      </c>
      <c r="K400">
        <v>-6.9870000000000001</v>
      </c>
      <c r="L400">
        <v>1</v>
      </c>
      <c r="M400">
        <v>7.0900000000000005E-2</v>
      </c>
      <c r="N400">
        <v>0.188</v>
      </c>
      <c r="O400">
        <v>0</v>
      </c>
      <c r="P400">
        <v>0.19800000000000001</v>
      </c>
      <c r="Q400">
        <v>0.71899999999999997</v>
      </c>
      <c r="R400">
        <v>142.041</v>
      </c>
      <c r="S400">
        <v>4</v>
      </c>
      <c r="T400" t="s">
        <v>4</v>
      </c>
    </row>
    <row r="401" spans="1:20" x14ac:dyDescent="0.3">
      <c r="A401" t="s">
        <v>1219</v>
      </c>
      <c r="B401" t="s">
        <v>749</v>
      </c>
      <c r="C401" t="s">
        <v>1217</v>
      </c>
      <c r="D401" t="s">
        <v>1220</v>
      </c>
      <c r="E401">
        <v>32</v>
      </c>
      <c r="F401">
        <v>223707</v>
      </c>
      <c r="G401" t="b">
        <v>1</v>
      </c>
      <c r="H401">
        <v>0.48699999999999999</v>
      </c>
      <c r="I401">
        <v>0.83699999999999997</v>
      </c>
      <c r="J401">
        <v>0</v>
      </c>
      <c r="K401">
        <v>-5.8650000000000002</v>
      </c>
      <c r="L401">
        <v>1</v>
      </c>
      <c r="M401">
        <v>6.2300000000000001E-2</v>
      </c>
      <c r="N401">
        <v>1.3299999999999999E-2</v>
      </c>
      <c r="O401">
        <v>0</v>
      </c>
      <c r="P401">
        <v>0.10199999999999999</v>
      </c>
      <c r="Q401">
        <v>0.20699999999999999</v>
      </c>
      <c r="R401">
        <v>160.02500000000001</v>
      </c>
      <c r="S401">
        <v>4</v>
      </c>
      <c r="T401" t="s">
        <v>4</v>
      </c>
    </row>
    <row r="402" spans="1:20" x14ac:dyDescent="0.3">
      <c r="A402" t="s">
        <v>1221</v>
      </c>
      <c r="B402" t="s">
        <v>1222</v>
      </c>
      <c r="C402" t="s">
        <v>1223</v>
      </c>
      <c r="D402" t="s">
        <v>1224</v>
      </c>
      <c r="E402">
        <v>54</v>
      </c>
      <c r="F402">
        <v>188181</v>
      </c>
      <c r="G402" t="b">
        <v>0</v>
      </c>
      <c r="H402">
        <v>0.52900000000000003</v>
      </c>
      <c r="I402">
        <v>0.24</v>
      </c>
      <c r="J402">
        <v>0</v>
      </c>
      <c r="K402">
        <v>-9.0660000000000007</v>
      </c>
      <c r="L402">
        <v>1</v>
      </c>
      <c r="M402">
        <v>3.6999999999999998E-2</v>
      </c>
      <c r="N402">
        <v>0.93799999999999994</v>
      </c>
      <c r="O402">
        <v>0</v>
      </c>
      <c r="P402">
        <v>6.59E-2</v>
      </c>
      <c r="Q402">
        <v>0.48699999999999999</v>
      </c>
      <c r="R402">
        <v>131.26599999999999</v>
      </c>
      <c r="S402">
        <v>4</v>
      </c>
      <c r="T402" t="s">
        <v>4</v>
      </c>
    </row>
    <row r="403" spans="1:20" x14ac:dyDescent="0.3">
      <c r="A403" t="s">
        <v>1225</v>
      </c>
      <c r="B403" t="s">
        <v>1226</v>
      </c>
      <c r="C403" t="s">
        <v>1227</v>
      </c>
      <c r="D403" t="s">
        <v>1228</v>
      </c>
      <c r="E403">
        <v>50</v>
      </c>
      <c r="F403">
        <v>171760</v>
      </c>
      <c r="G403" t="b">
        <v>0</v>
      </c>
      <c r="H403">
        <v>0.66600000000000004</v>
      </c>
      <c r="I403">
        <v>0.28899999999999998</v>
      </c>
      <c r="J403">
        <v>7</v>
      </c>
      <c r="K403">
        <v>-12.404</v>
      </c>
      <c r="L403">
        <v>1</v>
      </c>
      <c r="M403">
        <v>3.1699999999999999E-2</v>
      </c>
      <c r="N403">
        <v>0.64100000000000001</v>
      </c>
      <c r="O403" s="9" t="s">
        <v>1229</v>
      </c>
      <c r="P403">
        <v>0.109</v>
      </c>
      <c r="Q403">
        <v>0.41499999999999998</v>
      </c>
      <c r="R403">
        <v>109.965</v>
      </c>
      <c r="S403">
        <v>4</v>
      </c>
      <c r="T403" t="s">
        <v>4</v>
      </c>
    </row>
    <row r="404" spans="1:20" x14ac:dyDescent="0.3">
      <c r="A404" t="s">
        <v>1230</v>
      </c>
      <c r="B404" t="s">
        <v>1073</v>
      </c>
      <c r="C404" t="s">
        <v>1231</v>
      </c>
      <c r="D404" t="s">
        <v>1231</v>
      </c>
      <c r="E404">
        <v>58</v>
      </c>
      <c r="F404">
        <v>306243</v>
      </c>
      <c r="G404" t="b">
        <v>0</v>
      </c>
      <c r="H404">
        <v>0.45100000000000001</v>
      </c>
      <c r="I404">
        <v>3.1800000000000002E-2</v>
      </c>
      <c r="J404">
        <v>0</v>
      </c>
      <c r="K404">
        <v>-19.933</v>
      </c>
      <c r="L404">
        <v>0</v>
      </c>
      <c r="M404">
        <v>4.2099999999999999E-2</v>
      </c>
      <c r="N404">
        <v>0.98299999999999998</v>
      </c>
      <c r="O404">
        <v>5.3199999999999997E-2</v>
      </c>
      <c r="P404">
        <v>9.8900000000000002E-2</v>
      </c>
      <c r="Q404">
        <v>0.14799999999999999</v>
      </c>
      <c r="R404">
        <v>123.985</v>
      </c>
      <c r="S404">
        <v>4</v>
      </c>
      <c r="T404" t="s">
        <v>4</v>
      </c>
    </row>
    <row r="405" spans="1:20" x14ac:dyDescent="0.3">
      <c r="A405" t="s">
        <v>1232</v>
      </c>
      <c r="B405" t="s">
        <v>617</v>
      </c>
      <c r="C405" t="s">
        <v>1233</v>
      </c>
      <c r="D405" t="s">
        <v>1234</v>
      </c>
      <c r="E405">
        <v>49</v>
      </c>
      <c r="F405">
        <v>192389</v>
      </c>
      <c r="G405" t="b">
        <v>0</v>
      </c>
      <c r="H405">
        <v>0.35899999999999999</v>
      </c>
      <c r="I405">
        <v>0.20799999999999999</v>
      </c>
      <c r="J405">
        <v>7</v>
      </c>
      <c r="K405">
        <v>-10.567</v>
      </c>
      <c r="L405">
        <v>1</v>
      </c>
      <c r="M405">
        <v>3.5999999999999997E-2</v>
      </c>
      <c r="N405">
        <v>0.94299999999999995</v>
      </c>
      <c r="O405">
        <v>0</v>
      </c>
      <c r="P405">
        <v>9.3100000000000002E-2</v>
      </c>
      <c r="Q405">
        <v>0.105</v>
      </c>
      <c r="R405">
        <v>83.155000000000001</v>
      </c>
      <c r="S405">
        <v>3</v>
      </c>
      <c r="T405" t="s">
        <v>4</v>
      </c>
    </row>
    <row r="406" spans="1:20" x14ac:dyDescent="0.3">
      <c r="A406" t="s">
        <v>1235</v>
      </c>
      <c r="B406" t="s">
        <v>316</v>
      </c>
      <c r="C406" t="s">
        <v>77</v>
      </c>
      <c r="D406" t="s">
        <v>1236</v>
      </c>
      <c r="E406">
        <v>52</v>
      </c>
      <c r="F406">
        <v>218472</v>
      </c>
      <c r="G406" t="b">
        <v>0</v>
      </c>
      <c r="H406">
        <v>0.40300000000000002</v>
      </c>
      <c r="I406">
        <v>0.23699999999999999</v>
      </c>
      <c r="J406">
        <v>7</v>
      </c>
      <c r="K406">
        <v>-10.000999999999999</v>
      </c>
      <c r="L406">
        <v>1</v>
      </c>
      <c r="M406">
        <v>3.9100000000000003E-2</v>
      </c>
      <c r="N406">
        <v>0.90600000000000003</v>
      </c>
      <c r="O406">
        <v>0</v>
      </c>
      <c r="P406">
        <v>0.111</v>
      </c>
      <c r="Q406">
        <v>0.16300000000000001</v>
      </c>
      <c r="R406">
        <v>144.17400000000001</v>
      </c>
      <c r="S406">
        <v>4</v>
      </c>
      <c r="T406" t="s">
        <v>4</v>
      </c>
    </row>
    <row r="407" spans="1:20" x14ac:dyDescent="0.3">
      <c r="A407" t="s">
        <v>1237</v>
      </c>
      <c r="B407" t="s">
        <v>1101</v>
      </c>
      <c r="C407" t="s">
        <v>1238</v>
      </c>
      <c r="D407" t="s">
        <v>1239</v>
      </c>
      <c r="E407">
        <v>49</v>
      </c>
      <c r="F407">
        <v>177818</v>
      </c>
      <c r="G407" t="b">
        <v>0</v>
      </c>
      <c r="H407">
        <v>0.69299999999999995</v>
      </c>
      <c r="I407">
        <v>0.111</v>
      </c>
      <c r="J407">
        <v>0</v>
      </c>
      <c r="K407">
        <v>-12.356</v>
      </c>
      <c r="L407">
        <v>1</v>
      </c>
      <c r="M407">
        <v>3.7900000000000003E-2</v>
      </c>
      <c r="N407">
        <v>0.93700000000000006</v>
      </c>
      <c r="O407" s="9" t="s">
        <v>1240</v>
      </c>
      <c r="P407">
        <v>8.5800000000000001E-2</v>
      </c>
      <c r="Q407">
        <v>0.247</v>
      </c>
      <c r="R407">
        <v>110.813</v>
      </c>
      <c r="S407">
        <v>4</v>
      </c>
      <c r="T407" t="s">
        <v>4</v>
      </c>
    </row>
    <row r="408" spans="1:20" x14ac:dyDescent="0.3">
      <c r="A408" t="s">
        <v>1241</v>
      </c>
      <c r="B408" t="s">
        <v>1</v>
      </c>
      <c r="C408" t="s">
        <v>1242</v>
      </c>
      <c r="D408" t="s">
        <v>1243</v>
      </c>
      <c r="E408">
        <v>53</v>
      </c>
      <c r="F408">
        <v>251266</v>
      </c>
      <c r="G408" t="b">
        <v>0</v>
      </c>
      <c r="H408">
        <v>0.59799999999999998</v>
      </c>
      <c r="I408">
        <v>0.81899999999999995</v>
      </c>
      <c r="J408">
        <v>9</v>
      </c>
      <c r="K408">
        <v>-2.6190000000000002</v>
      </c>
      <c r="L408">
        <v>1</v>
      </c>
      <c r="M408">
        <v>9.11E-2</v>
      </c>
      <c r="N408">
        <v>8.0999999999999996E-4</v>
      </c>
      <c r="O408">
        <v>0</v>
      </c>
      <c r="P408">
        <v>0.218</v>
      </c>
      <c r="Q408">
        <v>0.878</v>
      </c>
      <c r="R408">
        <v>158.11500000000001</v>
      </c>
      <c r="S408">
        <v>4</v>
      </c>
      <c r="T408" t="s">
        <v>4</v>
      </c>
    </row>
    <row r="409" spans="1:20" x14ac:dyDescent="0.3">
      <c r="A409" t="s">
        <v>1244</v>
      </c>
      <c r="B409" t="s">
        <v>1245</v>
      </c>
      <c r="C409" t="s">
        <v>1246</v>
      </c>
      <c r="D409" t="s">
        <v>1247</v>
      </c>
      <c r="E409">
        <v>54</v>
      </c>
      <c r="F409">
        <v>239400</v>
      </c>
      <c r="G409" t="b">
        <v>0</v>
      </c>
      <c r="H409">
        <v>0.59599999999999997</v>
      </c>
      <c r="I409">
        <v>0.27</v>
      </c>
      <c r="J409">
        <v>2</v>
      </c>
      <c r="K409">
        <v>-11.486000000000001</v>
      </c>
      <c r="L409">
        <v>1</v>
      </c>
      <c r="M409">
        <v>2.6499999999999999E-2</v>
      </c>
      <c r="N409">
        <v>0.78500000000000003</v>
      </c>
      <c r="O409">
        <v>0.13400000000000001</v>
      </c>
      <c r="P409">
        <v>6.4699999999999994E-2</v>
      </c>
      <c r="Q409">
        <v>0.155</v>
      </c>
      <c r="R409">
        <v>100.006</v>
      </c>
      <c r="S409">
        <v>4</v>
      </c>
      <c r="T409" t="s">
        <v>4</v>
      </c>
    </row>
    <row r="410" spans="1:20" x14ac:dyDescent="0.3">
      <c r="A410" t="s">
        <v>1248</v>
      </c>
      <c r="B410" t="s">
        <v>1249</v>
      </c>
      <c r="C410" t="s">
        <v>1250</v>
      </c>
      <c r="D410" t="s">
        <v>1250</v>
      </c>
      <c r="E410">
        <v>50</v>
      </c>
      <c r="F410">
        <v>241413</v>
      </c>
      <c r="G410" t="b">
        <v>0</v>
      </c>
      <c r="H410">
        <v>0.58899999999999997</v>
      </c>
      <c r="I410">
        <v>0.33400000000000002</v>
      </c>
      <c r="J410">
        <v>7</v>
      </c>
      <c r="K410">
        <v>-10.08</v>
      </c>
      <c r="L410">
        <v>1</v>
      </c>
      <c r="M410">
        <v>2.9000000000000001E-2</v>
      </c>
      <c r="N410">
        <v>0.83199999999999996</v>
      </c>
      <c r="O410">
        <v>0</v>
      </c>
      <c r="P410">
        <v>0.13300000000000001</v>
      </c>
      <c r="Q410">
        <v>0.20799999999999999</v>
      </c>
      <c r="R410">
        <v>80.036000000000001</v>
      </c>
      <c r="S410">
        <v>4</v>
      </c>
      <c r="T410" t="s">
        <v>4</v>
      </c>
    </row>
    <row r="411" spans="1:20" x14ac:dyDescent="0.3">
      <c r="A411" t="s">
        <v>1251</v>
      </c>
      <c r="B411" t="s">
        <v>319</v>
      </c>
      <c r="C411" t="s">
        <v>1252</v>
      </c>
      <c r="D411" t="s">
        <v>1252</v>
      </c>
      <c r="E411">
        <v>57</v>
      </c>
      <c r="F411">
        <v>216800</v>
      </c>
      <c r="G411" t="b">
        <v>0</v>
      </c>
      <c r="H411">
        <v>0.73499999999999999</v>
      </c>
      <c r="I411">
        <v>0.27500000000000002</v>
      </c>
      <c r="J411">
        <v>8</v>
      </c>
      <c r="K411">
        <v>-8.9939999999999998</v>
      </c>
      <c r="L411">
        <v>0</v>
      </c>
      <c r="M411">
        <v>3.04E-2</v>
      </c>
      <c r="N411">
        <v>0.746</v>
      </c>
      <c r="O411">
        <v>0</v>
      </c>
      <c r="P411">
        <v>0.13100000000000001</v>
      </c>
      <c r="Q411">
        <v>0.29399999999999998</v>
      </c>
      <c r="R411">
        <v>116.004</v>
      </c>
      <c r="S411">
        <v>4</v>
      </c>
      <c r="T411" t="s">
        <v>4</v>
      </c>
    </row>
    <row r="412" spans="1:20" x14ac:dyDescent="0.3">
      <c r="A412" t="s">
        <v>1253</v>
      </c>
      <c r="B412" t="s">
        <v>1254</v>
      </c>
      <c r="C412" t="s">
        <v>1255</v>
      </c>
      <c r="D412" t="s">
        <v>1256</v>
      </c>
      <c r="E412">
        <v>53</v>
      </c>
      <c r="F412">
        <v>161306</v>
      </c>
      <c r="G412" t="b">
        <v>0</v>
      </c>
      <c r="H412">
        <v>0.60499999999999998</v>
      </c>
      <c r="I412">
        <v>0.16800000000000001</v>
      </c>
      <c r="J412">
        <v>2</v>
      </c>
      <c r="K412">
        <v>-11.388</v>
      </c>
      <c r="L412">
        <v>1</v>
      </c>
      <c r="M412">
        <v>4.9599999999999998E-2</v>
      </c>
      <c r="N412">
        <v>0.88700000000000001</v>
      </c>
      <c r="O412">
        <v>0</v>
      </c>
      <c r="P412">
        <v>0.12</v>
      </c>
      <c r="Q412">
        <v>0.39800000000000002</v>
      </c>
      <c r="R412">
        <v>119.836</v>
      </c>
      <c r="S412">
        <v>4</v>
      </c>
      <c r="T412" t="s">
        <v>4</v>
      </c>
    </row>
    <row r="413" spans="1:20" x14ac:dyDescent="0.3">
      <c r="A413" t="s">
        <v>1257</v>
      </c>
      <c r="B413" t="s">
        <v>14</v>
      </c>
      <c r="C413" t="s">
        <v>1258</v>
      </c>
      <c r="D413" t="s">
        <v>1258</v>
      </c>
      <c r="E413">
        <v>57</v>
      </c>
      <c r="F413">
        <v>153105</v>
      </c>
      <c r="G413" t="b">
        <v>0</v>
      </c>
      <c r="H413">
        <v>0.61199999999999999</v>
      </c>
      <c r="I413">
        <v>0.107</v>
      </c>
      <c r="J413">
        <v>0</v>
      </c>
      <c r="K413">
        <v>-15.867000000000001</v>
      </c>
      <c r="L413">
        <v>1</v>
      </c>
      <c r="M413">
        <v>3.0200000000000001E-2</v>
      </c>
      <c r="N413">
        <v>0.93600000000000005</v>
      </c>
      <c r="O413">
        <v>0</v>
      </c>
      <c r="P413">
        <v>0.109</v>
      </c>
      <c r="Q413">
        <v>0.63700000000000001</v>
      </c>
      <c r="R413">
        <v>78.393000000000001</v>
      </c>
      <c r="S413">
        <v>4</v>
      </c>
      <c r="T413" t="s">
        <v>4</v>
      </c>
    </row>
    <row r="414" spans="1:20" x14ac:dyDescent="0.3">
      <c r="A414" t="s">
        <v>1259</v>
      </c>
      <c r="B414" t="s">
        <v>319</v>
      </c>
      <c r="C414" t="s">
        <v>72</v>
      </c>
      <c r="D414" t="s">
        <v>595</v>
      </c>
      <c r="E414">
        <v>49</v>
      </c>
      <c r="F414">
        <v>202167</v>
      </c>
      <c r="G414" t="b">
        <v>0</v>
      </c>
      <c r="H414">
        <v>0.56799999999999995</v>
      </c>
      <c r="I414">
        <v>0.17699999999999999</v>
      </c>
      <c r="J414">
        <v>2</v>
      </c>
      <c r="K414">
        <v>-11.276999999999999</v>
      </c>
      <c r="L414">
        <v>1</v>
      </c>
      <c r="M414">
        <v>3.7400000000000003E-2</v>
      </c>
      <c r="N414">
        <v>0.93</v>
      </c>
      <c r="O414">
        <v>0</v>
      </c>
      <c r="P414">
        <v>9.0499999999999997E-2</v>
      </c>
      <c r="Q414">
        <v>0.35399999999999998</v>
      </c>
      <c r="R414">
        <v>103.822</v>
      </c>
      <c r="S414">
        <v>4</v>
      </c>
      <c r="T414" t="s">
        <v>4</v>
      </c>
    </row>
    <row r="415" spans="1:20" x14ac:dyDescent="0.3">
      <c r="A415" t="s">
        <v>1260</v>
      </c>
      <c r="B415" t="s">
        <v>332</v>
      </c>
      <c r="C415" t="s">
        <v>1261</v>
      </c>
      <c r="D415" t="s">
        <v>1262</v>
      </c>
      <c r="E415">
        <v>52</v>
      </c>
      <c r="F415">
        <v>173426</v>
      </c>
      <c r="G415" t="b">
        <v>0</v>
      </c>
      <c r="H415">
        <v>0.45100000000000001</v>
      </c>
      <c r="I415">
        <v>6.6500000000000004E-2</v>
      </c>
      <c r="J415">
        <v>0</v>
      </c>
      <c r="K415">
        <v>-13.862</v>
      </c>
      <c r="L415">
        <v>0</v>
      </c>
      <c r="M415">
        <v>5.16E-2</v>
      </c>
      <c r="N415">
        <v>0.96699999999999997</v>
      </c>
      <c r="O415" s="9" t="s">
        <v>1263</v>
      </c>
      <c r="P415">
        <v>0.109</v>
      </c>
      <c r="Q415">
        <v>0.34899999999999998</v>
      </c>
      <c r="R415">
        <v>64.289000000000001</v>
      </c>
      <c r="S415">
        <v>4</v>
      </c>
      <c r="T415" t="s">
        <v>4</v>
      </c>
    </row>
    <row r="416" spans="1:20" x14ac:dyDescent="0.3">
      <c r="A416" t="s">
        <v>1264</v>
      </c>
      <c r="B416" t="s">
        <v>1101</v>
      </c>
      <c r="C416" t="s">
        <v>1265</v>
      </c>
      <c r="D416" t="s">
        <v>1266</v>
      </c>
      <c r="E416">
        <v>51</v>
      </c>
      <c r="F416">
        <v>144644</v>
      </c>
      <c r="G416" t="b">
        <v>0</v>
      </c>
      <c r="H416">
        <v>0.59499999999999997</v>
      </c>
      <c r="I416">
        <v>4.7699999999999999E-2</v>
      </c>
      <c r="J416">
        <v>11</v>
      </c>
      <c r="K416">
        <v>-14.672000000000001</v>
      </c>
      <c r="L416">
        <v>1</v>
      </c>
      <c r="M416">
        <v>6.6199999999999995E-2</v>
      </c>
      <c r="N416">
        <v>0.92300000000000004</v>
      </c>
      <c r="O416">
        <v>0</v>
      </c>
      <c r="P416">
        <v>9.0899999999999995E-2</v>
      </c>
      <c r="Q416">
        <v>0.51300000000000001</v>
      </c>
      <c r="R416">
        <v>118.16200000000001</v>
      </c>
      <c r="S416">
        <v>3</v>
      </c>
      <c r="T416" t="s">
        <v>4</v>
      </c>
    </row>
    <row r="417" spans="1:20" x14ac:dyDescent="0.3">
      <c r="A417" t="s">
        <v>1267</v>
      </c>
      <c r="B417" t="s">
        <v>205</v>
      </c>
      <c r="C417" t="s">
        <v>1268</v>
      </c>
      <c r="D417" t="s">
        <v>1268</v>
      </c>
      <c r="E417">
        <v>46</v>
      </c>
      <c r="F417">
        <v>212760</v>
      </c>
      <c r="G417" t="b">
        <v>0</v>
      </c>
      <c r="H417">
        <v>0.307</v>
      </c>
      <c r="I417">
        <v>0.11</v>
      </c>
      <c r="J417">
        <v>1</v>
      </c>
      <c r="K417">
        <v>-15.253</v>
      </c>
      <c r="L417">
        <v>1</v>
      </c>
      <c r="M417">
        <v>3.8800000000000001E-2</v>
      </c>
      <c r="N417">
        <v>0.73299999999999998</v>
      </c>
      <c r="O417" s="9" t="s">
        <v>1269</v>
      </c>
      <c r="P417">
        <v>0.111</v>
      </c>
      <c r="Q417">
        <v>0.32</v>
      </c>
      <c r="R417">
        <v>201.00800000000001</v>
      </c>
      <c r="S417">
        <v>3</v>
      </c>
      <c r="T417" t="s">
        <v>4</v>
      </c>
    </row>
    <row r="418" spans="1:20" x14ac:dyDescent="0.3">
      <c r="A418" t="s">
        <v>1270</v>
      </c>
      <c r="B418" t="s">
        <v>19</v>
      </c>
      <c r="C418" t="s">
        <v>1271</v>
      </c>
      <c r="D418" t="s">
        <v>1271</v>
      </c>
      <c r="E418">
        <v>41</v>
      </c>
      <c r="F418">
        <v>241758</v>
      </c>
      <c r="G418" t="b">
        <v>0</v>
      </c>
      <c r="H418">
        <v>0.3</v>
      </c>
      <c r="I418">
        <v>0.27</v>
      </c>
      <c r="J418">
        <v>8</v>
      </c>
      <c r="K418">
        <v>-14.397</v>
      </c>
      <c r="L418">
        <v>0</v>
      </c>
      <c r="M418">
        <v>3.7100000000000001E-2</v>
      </c>
      <c r="N418">
        <v>0.9</v>
      </c>
      <c r="O418" s="9" t="s">
        <v>1272</v>
      </c>
      <c r="P418">
        <v>0.1</v>
      </c>
      <c r="Q418">
        <v>0.214</v>
      </c>
      <c r="R418">
        <v>144.589</v>
      </c>
      <c r="S418">
        <v>4</v>
      </c>
      <c r="T418" t="s">
        <v>4</v>
      </c>
    </row>
    <row r="419" spans="1:20" x14ac:dyDescent="0.3">
      <c r="A419" t="s">
        <v>1273</v>
      </c>
      <c r="B419" t="s">
        <v>1274</v>
      </c>
      <c r="C419" t="s">
        <v>1275</v>
      </c>
      <c r="D419" t="s">
        <v>1275</v>
      </c>
      <c r="E419">
        <v>57</v>
      </c>
      <c r="F419">
        <v>169600</v>
      </c>
      <c r="G419" t="b">
        <v>0</v>
      </c>
      <c r="H419">
        <v>0.73099999999999998</v>
      </c>
      <c r="I419">
        <v>0.191</v>
      </c>
      <c r="J419">
        <v>0</v>
      </c>
      <c r="K419">
        <v>-11.359</v>
      </c>
      <c r="L419">
        <v>1</v>
      </c>
      <c r="M419">
        <v>0.122</v>
      </c>
      <c r="N419">
        <v>0.73499999999999999</v>
      </c>
      <c r="O419">
        <v>0.67100000000000004</v>
      </c>
      <c r="P419">
        <v>0.13100000000000001</v>
      </c>
      <c r="Q419">
        <v>0.27400000000000002</v>
      </c>
      <c r="R419">
        <v>149.91</v>
      </c>
      <c r="S419">
        <v>4</v>
      </c>
      <c r="T419" t="s">
        <v>4</v>
      </c>
    </row>
    <row r="420" spans="1:20" x14ac:dyDescent="0.3">
      <c r="A420" t="s">
        <v>1276</v>
      </c>
      <c r="B420" t="s">
        <v>1277</v>
      </c>
      <c r="C420" t="s">
        <v>1278</v>
      </c>
      <c r="D420" t="s">
        <v>868</v>
      </c>
      <c r="E420">
        <v>50</v>
      </c>
      <c r="F420">
        <v>306626</v>
      </c>
      <c r="G420" t="b">
        <v>0</v>
      </c>
      <c r="H420">
        <v>0.54500000000000004</v>
      </c>
      <c r="I420">
        <v>0.745</v>
      </c>
      <c r="J420">
        <v>2</v>
      </c>
      <c r="K420">
        <v>-3.0979999999999999</v>
      </c>
      <c r="L420">
        <v>1</v>
      </c>
      <c r="M420">
        <v>2.86E-2</v>
      </c>
      <c r="N420">
        <v>4.5199999999999997E-2</v>
      </c>
      <c r="O420">
        <v>0</v>
      </c>
      <c r="P420">
        <v>9.0700000000000003E-2</v>
      </c>
      <c r="Q420">
        <v>0.41299999999999998</v>
      </c>
      <c r="R420">
        <v>106.09399999999999</v>
      </c>
      <c r="S420">
        <v>4</v>
      </c>
      <c r="T420" t="s">
        <v>4</v>
      </c>
    </row>
    <row r="421" spans="1:20" x14ac:dyDescent="0.3">
      <c r="A421" t="s">
        <v>1279</v>
      </c>
      <c r="B421" t="s">
        <v>1280</v>
      </c>
      <c r="C421" t="s">
        <v>1281</v>
      </c>
      <c r="D421" t="s">
        <v>1282</v>
      </c>
      <c r="E421">
        <v>42</v>
      </c>
      <c r="F421">
        <v>214466</v>
      </c>
      <c r="G421" t="b">
        <v>0</v>
      </c>
      <c r="H421">
        <v>0.35599999999999998</v>
      </c>
      <c r="I421">
        <v>0.23</v>
      </c>
      <c r="J421">
        <v>6</v>
      </c>
      <c r="K421">
        <v>-16.957000000000001</v>
      </c>
      <c r="L421">
        <v>0</v>
      </c>
      <c r="M421">
        <v>5.1900000000000002E-2</v>
      </c>
      <c r="N421">
        <v>0.92300000000000004</v>
      </c>
      <c r="O421">
        <v>0.80100000000000005</v>
      </c>
      <c r="P421">
        <v>0.112</v>
      </c>
      <c r="Q421">
        <v>0.11</v>
      </c>
      <c r="R421">
        <v>129.53200000000001</v>
      </c>
      <c r="S421">
        <v>4</v>
      </c>
      <c r="T421" t="s">
        <v>4</v>
      </c>
    </row>
    <row r="422" spans="1:20" x14ac:dyDescent="0.3">
      <c r="A422" t="s">
        <v>1283</v>
      </c>
      <c r="B422" t="s">
        <v>1284</v>
      </c>
      <c r="C422" t="s">
        <v>1285</v>
      </c>
      <c r="D422" t="s">
        <v>1286</v>
      </c>
      <c r="E422">
        <v>47</v>
      </c>
      <c r="F422">
        <v>160466</v>
      </c>
      <c r="G422" t="b">
        <v>0</v>
      </c>
      <c r="H422">
        <v>0.432</v>
      </c>
      <c r="I422">
        <v>0.79600000000000004</v>
      </c>
      <c r="J422">
        <v>7</v>
      </c>
      <c r="K422">
        <v>-7.2619999999999996</v>
      </c>
      <c r="L422">
        <v>1</v>
      </c>
      <c r="M422">
        <v>6.0600000000000001E-2</v>
      </c>
      <c r="N422">
        <v>1.5300000000000001E-4</v>
      </c>
      <c r="O422">
        <v>2.0899999999999998E-3</v>
      </c>
      <c r="P422">
        <v>0.26600000000000001</v>
      </c>
      <c r="Q422">
        <v>0.27100000000000002</v>
      </c>
      <c r="R422">
        <v>141.86799999999999</v>
      </c>
      <c r="S422">
        <v>4</v>
      </c>
      <c r="T422" t="s">
        <v>4</v>
      </c>
    </row>
    <row r="423" spans="1:20" x14ac:dyDescent="0.3">
      <c r="A423" t="s">
        <v>1287</v>
      </c>
      <c r="B423" t="s">
        <v>676</v>
      </c>
      <c r="C423" t="s">
        <v>1288</v>
      </c>
      <c r="D423" t="s">
        <v>1288</v>
      </c>
      <c r="E423">
        <v>55</v>
      </c>
      <c r="F423">
        <v>178826</v>
      </c>
      <c r="G423" t="b">
        <v>0</v>
      </c>
      <c r="H423">
        <v>0.69299999999999995</v>
      </c>
      <c r="I423">
        <v>0.66400000000000003</v>
      </c>
      <c r="J423">
        <v>4</v>
      </c>
      <c r="K423">
        <v>-5.8520000000000003</v>
      </c>
      <c r="L423">
        <v>1</v>
      </c>
      <c r="M423">
        <v>3.3599999999999998E-2</v>
      </c>
      <c r="N423">
        <v>3.09E-2</v>
      </c>
      <c r="O423">
        <v>0</v>
      </c>
      <c r="P423">
        <v>0.223</v>
      </c>
      <c r="Q423">
        <v>0.436</v>
      </c>
      <c r="R423">
        <v>132.059</v>
      </c>
      <c r="S423">
        <v>4</v>
      </c>
      <c r="T423" t="s">
        <v>4</v>
      </c>
    </row>
    <row r="424" spans="1:20" x14ac:dyDescent="0.3">
      <c r="A424" t="s">
        <v>1289</v>
      </c>
      <c r="B424" t="s">
        <v>398</v>
      </c>
      <c r="C424" t="s">
        <v>1290</v>
      </c>
      <c r="D424" t="s">
        <v>1291</v>
      </c>
      <c r="E424">
        <v>56</v>
      </c>
      <c r="F424">
        <v>138506</v>
      </c>
      <c r="G424" t="b">
        <v>0</v>
      </c>
      <c r="H424">
        <v>0.624</v>
      </c>
      <c r="I424">
        <v>0.33400000000000002</v>
      </c>
      <c r="J424">
        <v>3</v>
      </c>
      <c r="K424">
        <v>-11.89</v>
      </c>
      <c r="L424">
        <v>1</v>
      </c>
      <c r="M424">
        <v>3.9100000000000003E-2</v>
      </c>
      <c r="N424">
        <v>0.32100000000000001</v>
      </c>
      <c r="O424" s="9" t="s">
        <v>1292</v>
      </c>
      <c r="P424">
        <v>0.113</v>
      </c>
      <c r="Q424">
        <v>0.39700000000000002</v>
      </c>
      <c r="R424">
        <v>157.91999999999999</v>
      </c>
      <c r="S424">
        <v>4</v>
      </c>
      <c r="T424" t="s">
        <v>4</v>
      </c>
    </row>
    <row r="425" spans="1:20" x14ac:dyDescent="0.3">
      <c r="A425" t="s">
        <v>1293</v>
      </c>
      <c r="B425" t="s">
        <v>411</v>
      </c>
      <c r="C425" t="s">
        <v>863</v>
      </c>
      <c r="D425" t="s">
        <v>1294</v>
      </c>
      <c r="E425">
        <v>49</v>
      </c>
      <c r="F425">
        <v>230613</v>
      </c>
      <c r="G425" t="b">
        <v>0</v>
      </c>
      <c r="H425">
        <v>0.42299999999999999</v>
      </c>
      <c r="I425">
        <v>0.57199999999999995</v>
      </c>
      <c r="J425">
        <v>6</v>
      </c>
      <c r="K425">
        <v>-5.109</v>
      </c>
      <c r="L425">
        <v>1</v>
      </c>
      <c r="M425">
        <v>3.4700000000000002E-2</v>
      </c>
      <c r="N425">
        <v>1.5800000000000002E-2</v>
      </c>
      <c r="O425">
        <v>0</v>
      </c>
      <c r="P425">
        <v>0.23100000000000001</v>
      </c>
      <c r="Q425">
        <v>0.17</v>
      </c>
      <c r="R425">
        <v>165.39400000000001</v>
      </c>
      <c r="S425">
        <v>4</v>
      </c>
      <c r="T425" t="s">
        <v>4</v>
      </c>
    </row>
    <row r="426" spans="1:20" x14ac:dyDescent="0.3">
      <c r="A426" t="s">
        <v>1295</v>
      </c>
      <c r="B426" t="s">
        <v>1296</v>
      </c>
      <c r="C426" t="s">
        <v>1297</v>
      </c>
      <c r="D426" t="s">
        <v>810</v>
      </c>
      <c r="E426">
        <v>50</v>
      </c>
      <c r="F426">
        <v>111842</v>
      </c>
      <c r="G426" t="b">
        <v>0</v>
      </c>
      <c r="H426">
        <v>0.55500000000000005</v>
      </c>
      <c r="I426">
        <v>8.7900000000000006E-2</v>
      </c>
      <c r="J426">
        <v>0</v>
      </c>
      <c r="K426">
        <v>-12.141</v>
      </c>
      <c r="L426">
        <v>1</v>
      </c>
      <c r="M426">
        <v>4.7699999999999999E-2</v>
      </c>
      <c r="N426">
        <v>0.96799999999999997</v>
      </c>
      <c r="O426">
        <v>0</v>
      </c>
      <c r="P426">
        <v>9.6000000000000002E-2</v>
      </c>
      <c r="Q426">
        <v>0.42799999999999999</v>
      </c>
      <c r="R426">
        <v>84.174000000000007</v>
      </c>
      <c r="S426">
        <v>4</v>
      </c>
      <c r="T426" t="s">
        <v>4</v>
      </c>
    </row>
    <row r="427" spans="1:20" x14ac:dyDescent="0.3">
      <c r="A427" t="s">
        <v>1298</v>
      </c>
      <c r="B427" t="s">
        <v>1299</v>
      </c>
      <c r="C427" t="s">
        <v>1300</v>
      </c>
      <c r="D427" t="s">
        <v>1300</v>
      </c>
      <c r="E427">
        <v>56</v>
      </c>
      <c r="F427">
        <v>183213</v>
      </c>
      <c r="G427" t="b">
        <v>0</v>
      </c>
      <c r="H427">
        <v>0.496</v>
      </c>
      <c r="I427">
        <v>0.39100000000000001</v>
      </c>
      <c r="J427">
        <v>10</v>
      </c>
      <c r="K427">
        <v>-9.8439999999999994</v>
      </c>
      <c r="L427">
        <v>1</v>
      </c>
      <c r="M427">
        <v>3.1099999999999999E-2</v>
      </c>
      <c r="N427">
        <v>0.82599999999999996</v>
      </c>
      <c r="O427">
        <v>1.26E-2</v>
      </c>
      <c r="P427">
        <v>0.108</v>
      </c>
      <c r="Q427">
        <v>0.49199999999999999</v>
      </c>
      <c r="R427">
        <v>108.86799999999999</v>
      </c>
      <c r="S427">
        <v>4</v>
      </c>
      <c r="T427" t="s">
        <v>4</v>
      </c>
    </row>
    <row r="428" spans="1:20" x14ac:dyDescent="0.3">
      <c r="A428" t="s">
        <v>1301</v>
      </c>
      <c r="B428" t="s">
        <v>319</v>
      </c>
      <c r="C428" t="s">
        <v>1302</v>
      </c>
      <c r="D428" t="s">
        <v>1302</v>
      </c>
      <c r="E428">
        <v>52</v>
      </c>
      <c r="F428">
        <v>220507</v>
      </c>
      <c r="G428" t="b">
        <v>0</v>
      </c>
      <c r="H428">
        <v>0.67100000000000004</v>
      </c>
      <c r="I428">
        <v>0.29899999999999999</v>
      </c>
      <c r="J428">
        <v>7</v>
      </c>
      <c r="K428">
        <v>-10.582000000000001</v>
      </c>
      <c r="L428">
        <v>1</v>
      </c>
      <c r="M428">
        <v>2.8400000000000002E-2</v>
      </c>
      <c r="N428">
        <v>0.753</v>
      </c>
      <c r="O428" s="9" t="s">
        <v>1303</v>
      </c>
      <c r="P428">
        <v>9.7500000000000003E-2</v>
      </c>
      <c r="Q428">
        <v>0.28599999999999998</v>
      </c>
      <c r="R428">
        <v>95.007999999999996</v>
      </c>
      <c r="S428">
        <v>4</v>
      </c>
      <c r="T428" t="s">
        <v>4</v>
      </c>
    </row>
    <row r="429" spans="1:20" x14ac:dyDescent="0.3">
      <c r="A429" t="s">
        <v>1304</v>
      </c>
      <c r="B429" t="s">
        <v>258</v>
      </c>
      <c r="C429" t="s">
        <v>428</v>
      </c>
      <c r="D429" t="s">
        <v>1305</v>
      </c>
      <c r="E429">
        <v>50</v>
      </c>
      <c r="F429">
        <v>248506</v>
      </c>
      <c r="G429" t="b">
        <v>0</v>
      </c>
      <c r="H429">
        <v>0.379</v>
      </c>
      <c r="I429">
        <v>0.26700000000000002</v>
      </c>
      <c r="J429">
        <v>4</v>
      </c>
      <c r="K429">
        <v>-8.9809999999999999</v>
      </c>
      <c r="L429">
        <v>1</v>
      </c>
      <c r="M429">
        <v>2.93E-2</v>
      </c>
      <c r="N429">
        <v>0.60499999999999998</v>
      </c>
      <c r="O429">
        <v>3.2200000000000002E-3</v>
      </c>
      <c r="P429">
        <v>0.152</v>
      </c>
      <c r="Q429">
        <v>0.22900000000000001</v>
      </c>
      <c r="R429">
        <v>135.19800000000001</v>
      </c>
      <c r="S429">
        <v>4</v>
      </c>
      <c r="T429" t="s">
        <v>4</v>
      </c>
    </row>
    <row r="430" spans="1:20" x14ac:dyDescent="0.3">
      <c r="A430" t="s">
        <v>1306</v>
      </c>
      <c r="B430" t="s">
        <v>571</v>
      </c>
      <c r="C430" t="s">
        <v>1307</v>
      </c>
      <c r="D430" t="s">
        <v>1308</v>
      </c>
      <c r="E430">
        <v>53</v>
      </c>
      <c r="F430">
        <v>269986</v>
      </c>
      <c r="G430" t="b">
        <v>0</v>
      </c>
      <c r="H430">
        <v>0.499</v>
      </c>
      <c r="I430">
        <v>0.20899999999999999</v>
      </c>
      <c r="J430">
        <v>3</v>
      </c>
      <c r="K430">
        <v>-16.667999999999999</v>
      </c>
      <c r="L430">
        <v>1</v>
      </c>
      <c r="M430">
        <v>3.0499999999999999E-2</v>
      </c>
      <c r="N430">
        <v>0.88200000000000001</v>
      </c>
      <c r="O430">
        <v>4.9100000000000003E-3</v>
      </c>
      <c r="P430">
        <v>8.7999999999999995E-2</v>
      </c>
      <c r="Q430">
        <v>0.13800000000000001</v>
      </c>
      <c r="R430">
        <v>82.891999999999996</v>
      </c>
      <c r="S430">
        <v>4</v>
      </c>
      <c r="T430" t="s">
        <v>4</v>
      </c>
    </row>
    <row r="431" spans="1:20" x14ac:dyDescent="0.3">
      <c r="A431" t="s">
        <v>1309</v>
      </c>
      <c r="B431" t="s">
        <v>971</v>
      </c>
      <c r="C431" t="s">
        <v>1310</v>
      </c>
      <c r="D431" t="s">
        <v>1311</v>
      </c>
      <c r="E431">
        <v>33</v>
      </c>
      <c r="F431">
        <v>272773</v>
      </c>
      <c r="G431" t="b">
        <v>0</v>
      </c>
      <c r="H431">
        <v>0.64900000000000002</v>
      </c>
      <c r="I431">
        <v>0.33600000000000002</v>
      </c>
      <c r="J431">
        <v>7</v>
      </c>
      <c r="K431">
        <v>-12.053000000000001</v>
      </c>
      <c r="L431">
        <v>1</v>
      </c>
      <c r="M431">
        <v>2.9899999999999999E-2</v>
      </c>
      <c r="N431">
        <v>0.27</v>
      </c>
      <c r="O431">
        <v>0</v>
      </c>
      <c r="P431">
        <v>0.13700000000000001</v>
      </c>
      <c r="Q431">
        <v>0.47</v>
      </c>
      <c r="R431">
        <v>71.966999999999999</v>
      </c>
      <c r="S431">
        <v>4</v>
      </c>
      <c r="T431" t="s">
        <v>4</v>
      </c>
    </row>
    <row r="432" spans="1:20" x14ac:dyDescent="0.3">
      <c r="A432" t="s">
        <v>1312</v>
      </c>
      <c r="B432" t="s">
        <v>1313</v>
      </c>
      <c r="C432" t="s">
        <v>1314</v>
      </c>
      <c r="D432" t="s">
        <v>1315</v>
      </c>
      <c r="E432">
        <v>54</v>
      </c>
      <c r="F432">
        <v>189646</v>
      </c>
      <c r="G432" t="b">
        <v>0</v>
      </c>
      <c r="H432">
        <v>0.746</v>
      </c>
      <c r="I432">
        <v>0.25700000000000001</v>
      </c>
      <c r="J432">
        <v>0</v>
      </c>
      <c r="K432">
        <v>-9.8780000000000001</v>
      </c>
      <c r="L432">
        <v>1</v>
      </c>
      <c r="M432">
        <v>3.1199999999999999E-2</v>
      </c>
      <c r="N432">
        <v>0.77200000000000002</v>
      </c>
      <c r="O432">
        <v>0</v>
      </c>
      <c r="P432">
        <v>0.107</v>
      </c>
      <c r="Q432">
        <v>0.34799999999999998</v>
      </c>
      <c r="R432">
        <v>132.03200000000001</v>
      </c>
      <c r="S432">
        <v>4</v>
      </c>
      <c r="T432" t="s">
        <v>4</v>
      </c>
    </row>
    <row r="433" spans="1:20" x14ac:dyDescent="0.3">
      <c r="A433" t="s">
        <v>1316</v>
      </c>
      <c r="B433" t="s">
        <v>25</v>
      </c>
      <c r="C433" t="s">
        <v>1317</v>
      </c>
      <c r="D433" t="s">
        <v>1318</v>
      </c>
      <c r="E433">
        <v>50</v>
      </c>
      <c r="F433">
        <v>262820</v>
      </c>
      <c r="G433" t="b">
        <v>0</v>
      </c>
      <c r="H433">
        <v>0.39300000000000002</v>
      </c>
      <c r="I433">
        <v>0.26800000000000002</v>
      </c>
      <c r="J433">
        <v>9</v>
      </c>
      <c r="K433">
        <v>-6.7409999999999997</v>
      </c>
      <c r="L433">
        <v>1</v>
      </c>
      <c r="M433">
        <v>3.85E-2</v>
      </c>
      <c r="N433">
        <v>0.69699999999999995</v>
      </c>
      <c r="O433">
        <v>0</v>
      </c>
      <c r="P433">
        <v>0.11</v>
      </c>
      <c r="Q433">
        <v>0.22500000000000001</v>
      </c>
      <c r="R433">
        <v>110.456</v>
      </c>
      <c r="S433">
        <v>4</v>
      </c>
      <c r="T433" t="s">
        <v>4</v>
      </c>
    </row>
    <row r="434" spans="1:20" x14ac:dyDescent="0.3">
      <c r="A434" t="s">
        <v>1319</v>
      </c>
      <c r="B434" t="s">
        <v>982</v>
      </c>
      <c r="C434" t="s">
        <v>1320</v>
      </c>
      <c r="D434" t="s">
        <v>1321</v>
      </c>
      <c r="E434">
        <v>54</v>
      </c>
      <c r="F434">
        <v>195213</v>
      </c>
      <c r="G434" t="b">
        <v>0</v>
      </c>
      <c r="H434">
        <v>0.629</v>
      </c>
      <c r="I434">
        <v>0.67300000000000004</v>
      </c>
      <c r="J434">
        <v>6</v>
      </c>
      <c r="K434">
        <v>-4.3789999999999996</v>
      </c>
      <c r="L434">
        <v>1</v>
      </c>
      <c r="M434">
        <v>2.6200000000000001E-2</v>
      </c>
      <c r="N434">
        <v>0.29399999999999998</v>
      </c>
      <c r="O434">
        <v>1.09E-2</v>
      </c>
      <c r="P434">
        <v>0.13900000000000001</v>
      </c>
      <c r="Q434">
        <v>0.41899999999999998</v>
      </c>
      <c r="R434">
        <v>114.24299999999999</v>
      </c>
      <c r="S434">
        <v>4</v>
      </c>
      <c r="T434" t="s">
        <v>4</v>
      </c>
    </row>
    <row r="435" spans="1:20" x14ac:dyDescent="0.3">
      <c r="A435" t="s">
        <v>1322</v>
      </c>
      <c r="B435" t="s">
        <v>168</v>
      </c>
      <c r="C435" t="s">
        <v>1323</v>
      </c>
      <c r="D435" t="s">
        <v>225</v>
      </c>
      <c r="E435">
        <v>55</v>
      </c>
      <c r="F435">
        <v>228311</v>
      </c>
      <c r="G435" t="b">
        <v>0</v>
      </c>
      <c r="H435">
        <v>0.45800000000000002</v>
      </c>
      <c r="I435">
        <v>0.36299999999999999</v>
      </c>
      <c r="J435">
        <v>5</v>
      </c>
      <c r="K435">
        <v>-6.4729999999999999</v>
      </c>
      <c r="L435">
        <v>1</v>
      </c>
      <c r="M435">
        <v>3.2000000000000001E-2</v>
      </c>
      <c r="N435">
        <v>0.89200000000000002</v>
      </c>
      <c r="O435" s="9" t="s">
        <v>1324</v>
      </c>
      <c r="P435">
        <v>0.155</v>
      </c>
      <c r="Q435">
        <v>0.49199999999999999</v>
      </c>
      <c r="R435">
        <v>134.25200000000001</v>
      </c>
      <c r="S435">
        <v>3</v>
      </c>
      <c r="T435" t="s">
        <v>4</v>
      </c>
    </row>
    <row r="436" spans="1:20" x14ac:dyDescent="0.3">
      <c r="A436" t="s">
        <v>1325</v>
      </c>
      <c r="B436" t="s">
        <v>1326</v>
      </c>
      <c r="C436" t="s">
        <v>1327</v>
      </c>
      <c r="D436" t="s">
        <v>1327</v>
      </c>
      <c r="E436">
        <v>32</v>
      </c>
      <c r="F436">
        <v>155792</v>
      </c>
      <c r="G436" t="b">
        <v>0</v>
      </c>
      <c r="H436">
        <v>0.45200000000000001</v>
      </c>
      <c r="I436">
        <v>0.26800000000000002</v>
      </c>
      <c r="J436">
        <v>8</v>
      </c>
      <c r="K436">
        <v>-9.4049999999999994</v>
      </c>
      <c r="L436">
        <v>1</v>
      </c>
      <c r="M436">
        <v>3.1099999999999999E-2</v>
      </c>
      <c r="N436">
        <v>0.96099999999999997</v>
      </c>
      <c r="O436" s="9" t="s">
        <v>1328</v>
      </c>
      <c r="P436">
        <v>0.11899999999999999</v>
      </c>
      <c r="Q436">
        <v>0.26500000000000001</v>
      </c>
      <c r="R436">
        <v>66.805000000000007</v>
      </c>
      <c r="S436">
        <v>4</v>
      </c>
      <c r="T436" t="s">
        <v>4</v>
      </c>
    </row>
    <row r="437" spans="1:20" x14ac:dyDescent="0.3">
      <c r="A437" t="s">
        <v>1329</v>
      </c>
      <c r="B437" t="s">
        <v>971</v>
      </c>
      <c r="C437" t="s">
        <v>1330</v>
      </c>
      <c r="D437" t="s">
        <v>1331</v>
      </c>
      <c r="E437">
        <v>33</v>
      </c>
      <c r="F437">
        <v>256506</v>
      </c>
      <c r="G437" t="b">
        <v>0</v>
      </c>
      <c r="H437">
        <v>0.61599999999999999</v>
      </c>
      <c r="I437">
        <v>0.79100000000000004</v>
      </c>
      <c r="J437">
        <v>9</v>
      </c>
      <c r="K437">
        <v>-6.2460000000000004</v>
      </c>
      <c r="L437">
        <v>1</v>
      </c>
      <c r="M437">
        <v>2.93E-2</v>
      </c>
      <c r="N437">
        <v>5.9900000000000002E-2</v>
      </c>
      <c r="O437" s="9" t="s">
        <v>1332</v>
      </c>
      <c r="P437">
        <v>0.318</v>
      </c>
      <c r="Q437">
        <v>0.58899999999999997</v>
      </c>
      <c r="R437">
        <v>126.764</v>
      </c>
      <c r="S437">
        <v>4</v>
      </c>
      <c r="T437" t="s">
        <v>4</v>
      </c>
    </row>
    <row r="438" spans="1:20" x14ac:dyDescent="0.3">
      <c r="A438" t="s">
        <v>1333</v>
      </c>
      <c r="B438" t="s">
        <v>1334</v>
      </c>
      <c r="C438" t="s">
        <v>1335</v>
      </c>
      <c r="D438" t="s">
        <v>1336</v>
      </c>
      <c r="E438">
        <v>50</v>
      </c>
      <c r="F438">
        <v>240000</v>
      </c>
      <c r="G438" t="b">
        <v>0</v>
      </c>
      <c r="H438">
        <v>0.61899999999999999</v>
      </c>
      <c r="I438">
        <v>0.27800000000000002</v>
      </c>
      <c r="J438">
        <v>4</v>
      </c>
      <c r="K438">
        <v>-7.0720000000000001</v>
      </c>
      <c r="L438">
        <v>1</v>
      </c>
      <c r="M438">
        <v>2.6700000000000002E-2</v>
      </c>
      <c r="N438">
        <v>0.83599999999999997</v>
      </c>
      <c r="O438">
        <v>0</v>
      </c>
      <c r="P438">
        <v>0.121</v>
      </c>
      <c r="Q438">
        <v>0.23300000000000001</v>
      </c>
      <c r="R438">
        <v>129.94800000000001</v>
      </c>
      <c r="S438">
        <v>4</v>
      </c>
      <c r="T438" t="s">
        <v>4</v>
      </c>
    </row>
    <row r="439" spans="1:20" x14ac:dyDescent="0.3">
      <c r="A439" t="s">
        <v>1337</v>
      </c>
      <c r="B439" t="s">
        <v>497</v>
      </c>
      <c r="C439" t="s">
        <v>1338</v>
      </c>
      <c r="D439" t="s">
        <v>1339</v>
      </c>
      <c r="E439">
        <v>56</v>
      </c>
      <c r="F439">
        <v>193333</v>
      </c>
      <c r="G439" t="b">
        <v>0</v>
      </c>
      <c r="H439">
        <v>0.63400000000000001</v>
      </c>
      <c r="I439">
        <v>0.17599999999999999</v>
      </c>
      <c r="J439">
        <v>0</v>
      </c>
      <c r="K439">
        <v>-14.702999999999999</v>
      </c>
      <c r="L439">
        <v>1</v>
      </c>
      <c r="M439">
        <v>3.0700000000000002E-2</v>
      </c>
      <c r="N439">
        <v>0.93100000000000005</v>
      </c>
      <c r="O439" s="9" t="s">
        <v>1340</v>
      </c>
      <c r="P439">
        <v>0.13600000000000001</v>
      </c>
      <c r="Q439">
        <v>0.33500000000000002</v>
      </c>
      <c r="R439">
        <v>107.974</v>
      </c>
      <c r="S439">
        <v>4</v>
      </c>
      <c r="T439" t="s">
        <v>4</v>
      </c>
    </row>
    <row r="440" spans="1:20" x14ac:dyDescent="0.3">
      <c r="A440" t="s">
        <v>1341</v>
      </c>
      <c r="B440" t="s">
        <v>589</v>
      </c>
      <c r="C440" t="s">
        <v>590</v>
      </c>
      <c r="D440" t="s">
        <v>1342</v>
      </c>
      <c r="E440">
        <v>63</v>
      </c>
      <c r="F440">
        <v>273066</v>
      </c>
      <c r="G440" t="b">
        <v>0</v>
      </c>
      <c r="H440">
        <v>0.54900000000000004</v>
      </c>
      <c r="I440">
        <v>0.437</v>
      </c>
      <c r="J440">
        <v>7</v>
      </c>
      <c r="K440">
        <v>-8.64</v>
      </c>
      <c r="L440">
        <v>1</v>
      </c>
      <c r="M440">
        <v>3.1300000000000001E-2</v>
      </c>
      <c r="N440">
        <v>0.68200000000000005</v>
      </c>
      <c r="O440" s="9" t="s">
        <v>1343</v>
      </c>
      <c r="P440">
        <v>0.224</v>
      </c>
      <c r="Q440">
        <v>0.68799999999999994</v>
      </c>
      <c r="R440">
        <v>153.60400000000001</v>
      </c>
      <c r="S440">
        <v>4</v>
      </c>
      <c r="T440" t="s">
        <v>4</v>
      </c>
    </row>
    <row r="441" spans="1:20" x14ac:dyDescent="0.3">
      <c r="A441" t="s">
        <v>1344</v>
      </c>
      <c r="B441" t="s">
        <v>129</v>
      </c>
      <c r="C441" t="s">
        <v>265</v>
      </c>
      <c r="D441" t="s">
        <v>1345</v>
      </c>
      <c r="E441">
        <v>48</v>
      </c>
      <c r="F441">
        <v>162309</v>
      </c>
      <c r="G441" t="b">
        <v>0</v>
      </c>
      <c r="H441">
        <v>0.29199999999999998</v>
      </c>
      <c r="I441">
        <v>0.33900000000000002</v>
      </c>
      <c r="J441">
        <v>7</v>
      </c>
      <c r="K441">
        <v>-13.153</v>
      </c>
      <c r="L441">
        <v>1</v>
      </c>
      <c r="M441">
        <v>3.2000000000000001E-2</v>
      </c>
      <c r="N441">
        <v>0.92300000000000004</v>
      </c>
      <c r="O441">
        <v>0.879</v>
      </c>
      <c r="P441">
        <v>0.111</v>
      </c>
      <c r="Q441">
        <v>0.34300000000000003</v>
      </c>
      <c r="R441">
        <v>100.69</v>
      </c>
      <c r="S441">
        <v>4</v>
      </c>
      <c r="T441" t="s">
        <v>4</v>
      </c>
    </row>
    <row r="442" spans="1:20" x14ac:dyDescent="0.3">
      <c r="A442" t="s">
        <v>1346</v>
      </c>
      <c r="B442" t="s">
        <v>1347</v>
      </c>
      <c r="C442" t="s">
        <v>1348</v>
      </c>
      <c r="D442" t="s">
        <v>1349</v>
      </c>
      <c r="E442">
        <v>54</v>
      </c>
      <c r="F442">
        <v>190106</v>
      </c>
      <c r="G442" t="b">
        <v>0</v>
      </c>
      <c r="H442">
        <v>0.504</v>
      </c>
      <c r="I442">
        <v>2.7300000000000001E-2</v>
      </c>
      <c r="J442">
        <v>2</v>
      </c>
      <c r="K442">
        <v>-21.440999999999999</v>
      </c>
      <c r="L442">
        <v>1</v>
      </c>
      <c r="M442">
        <v>4.1500000000000002E-2</v>
      </c>
      <c r="N442">
        <v>0.93100000000000005</v>
      </c>
      <c r="O442" s="9" t="s">
        <v>1350</v>
      </c>
      <c r="P442">
        <v>0.109</v>
      </c>
      <c r="Q442">
        <v>0.39500000000000002</v>
      </c>
      <c r="R442">
        <v>120.24</v>
      </c>
      <c r="S442">
        <v>4</v>
      </c>
      <c r="T442" t="s">
        <v>4</v>
      </c>
    </row>
    <row r="443" spans="1:20" x14ac:dyDescent="0.3">
      <c r="A443" t="s">
        <v>1351</v>
      </c>
      <c r="B443" t="s">
        <v>1352</v>
      </c>
      <c r="C443" t="s">
        <v>1353</v>
      </c>
      <c r="D443" t="s">
        <v>1354</v>
      </c>
      <c r="E443">
        <v>31</v>
      </c>
      <c r="F443">
        <v>319320</v>
      </c>
      <c r="G443" t="b">
        <v>0</v>
      </c>
      <c r="H443">
        <v>0.63600000000000001</v>
      </c>
      <c r="I443">
        <v>0.86899999999999999</v>
      </c>
      <c r="J443">
        <v>6</v>
      </c>
      <c r="K443">
        <v>-5.0949999999999998</v>
      </c>
      <c r="L443">
        <v>0</v>
      </c>
      <c r="M443">
        <v>2.8400000000000002E-2</v>
      </c>
      <c r="N443">
        <v>0.129</v>
      </c>
      <c r="O443">
        <v>5.5399999999999998E-2</v>
      </c>
      <c r="P443">
        <v>0.27200000000000002</v>
      </c>
      <c r="Q443">
        <v>0.36899999999999999</v>
      </c>
      <c r="R443">
        <v>124.18300000000001</v>
      </c>
      <c r="S443">
        <v>4</v>
      </c>
      <c r="T443" t="s">
        <v>4</v>
      </c>
    </row>
    <row r="444" spans="1:20" x14ac:dyDescent="0.3">
      <c r="A444" t="s">
        <v>1355</v>
      </c>
      <c r="B444" t="s">
        <v>1053</v>
      </c>
      <c r="C444" t="s">
        <v>1356</v>
      </c>
      <c r="D444" t="s">
        <v>1357</v>
      </c>
      <c r="E444">
        <v>31</v>
      </c>
      <c r="F444">
        <v>237093</v>
      </c>
      <c r="G444" t="b">
        <v>0</v>
      </c>
      <c r="H444">
        <v>0.48599999999999999</v>
      </c>
      <c r="I444">
        <v>0.91300000000000003</v>
      </c>
      <c r="J444">
        <v>5</v>
      </c>
      <c r="K444">
        <v>-6.4160000000000004</v>
      </c>
      <c r="L444">
        <v>1</v>
      </c>
      <c r="M444">
        <v>6.1600000000000002E-2</v>
      </c>
      <c r="N444" s="9" t="s">
        <v>1358</v>
      </c>
      <c r="O444">
        <v>0.28899999999999998</v>
      </c>
      <c r="P444">
        <v>0.22500000000000001</v>
      </c>
      <c r="Q444">
        <v>0.33400000000000002</v>
      </c>
      <c r="R444">
        <v>136.07300000000001</v>
      </c>
      <c r="S444">
        <v>4</v>
      </c>
      <c r="T444" t="s">
        <v>4</v>
      </c>
    </row>
    <row r="445" spans="1:20" x14ac:dyDescent="0.3">
      <c r="A445" t="s">
        <v>1359</v>
      </c>
      <c r="B445" t="s">
        <v>897</v>
      </c>
      <c r="C445" t="s">
        <v>898</v>
      </c>
      <c r="D445" t="s">
        <v>1360</v>
      </c>
      <c r="E445">
        <v>60</v>
      </c>
      <c r="F445">
        <v>235586</v>
      </c>
      <c r="G445" t="b">
        <v>0</v>
      </c>
      <c r="H445">
        <v>0.39600000000000002</v>
      </c>
      <c r="I445">
        <v>0.19800000000000001</v>
      </c>
      <c r="J445">
        <v>2</v>
      </c>
      <c r="K445">
        <v>-9.0960000000000001</v>
      </c>
      <c r="L445">
        <v>1</v>
      </c>
      <c r="M445">
        <v>3.1E-2</v>
      </c>
      <c r="N445">
        <v>0.91200000000000003</v>
      </c>
      <c r="O445">
        <v>0</v>
      </c>
      <c r="P445">
        <v>9.7199999999999995E-2</v>
      </c>
      <c r="Q445">
        <v>0.19</v>
      </c>
      <c r="R445">
        <v>138.624</v>
      </c>
      <c r="S445">
        <v>3</v>
      </c>
      <c r="T445" t="s">
        <v>4</v>
      </c>
    </row>
    <row r="446" spans="1:20" x14ac:dyDescent="0.3">
      <c r="A446" t="s">
        <v>1361</v>
      </c>
      <c r="B446" t="s">
        <v>692</v>
      </c>
      <c r="C446" t="s">
        <v>1362</v>
      </c>
      <c r="D446" t="s">
        <v>1363</v>
      </c>
      <c r="E446">
        <v>67</v>
      </c>
      <c r="F446">
        <v>231840</v>
      </c>
      <c r="G446" t="b">
        <v>0</v>
      </c>
      <c r="H446">
        <v>0.57799999999999996</v>
      </c>
      <c r="I446">
        <v>0.72699999999999998</v>
      </c>
      <c r="J446">
        <v>10</v>
      </c>
      <c r="K446">
        <v>-4.8719999999999999</v>
      </c>
      <c r="L446">
        <v>1</v>
      </c>
      <c r="M446">
        <v>3.32E-2</v>
      </c>
      <c r="N446">
        <v>3.04E-2</v>
      </c>
      <c r="O446" s="9" t="s">
        <v>1364</v>
      </c>
      <c r="P446">
        <v>0.17199999999999999</v>
      </c>
      <c r="Q446">
        <v>0.88500000000000001</v>
      </c>
      <c r="R446">
        <v>170.59299999999999</v>
      </c>
      <c r="S446">
        <v>4</v>
      </c>
      <c r="T446" t="s">
        <v>4</v>
      </c>
    </row>
    <row r="447" spans="1:20" x14ac:dyDescent="0.3">
      <c r="A447" t="s">
        <v>1365</v>
      </c>
      <c r="B447" t="s">
        <v>1210</v>
      </c>
      <c r="C447" t="s">
        <v>1366</v>
      </c>
      <c r="D447" t="s">
        <v>1367</v>
      </c>
      <c r="E447">
        <v>33</v>
      </c>
      <c r="F447">
        <v>163666</v>
      </c>
      <c r="G447" t="b">
        <v>0</v>
      </c>
      <c r="H447">
        <v>0.68400000000000005</v>
      </c>
      <c r="I447">
        <v>0.50900000000000001</v>
      </c>
      <c r="J447">
        <v>4</v>
      </c>
      <c r="K447">
        <v>-7.6079999999999997</v>
      </c>
      <c r="L447">
        <v>1</v>
      </c>
      <c r="M447">
        <v>3.3399999999999999E-2</v>
      </c>
      <c r="N447">
        <v>0.57099999999999995</v>
      </c>
      <c r="O447">
        <v>0</v>
      </c>
      <c r="P447">
        <v>0.40200000000000002</v>
      </c>
      <c r="Q447">
        <v>0.69</v>
      </c>
      <c r="R447">
        <v>132.297</v>
      </c>
      <c r="S447">
        <v>4</v>
      </c>
      <c r="T447" t="s">
        <v>4</v>
      </c>
    </row>
    <row r="448" spans="1:20" x14ac:dyDescent="0.3">
      <c r="A448" t="s">
        <v>1368</v>
      </c>
      <c r="B448" t="s">
        <v>1369</v>
      </c>
      <c r="C448" t="s">
        <v>1370</v>
      </c>
      <c r="D448" t="s">
        <v>1371</v>
      </c>
      <c r="E448">
        <v>32</v>
      </c>
      <c r="F448">
        <v>122026</v>
      </c>
      <c r="G448" t="b">
        <v>1</v>
      </c>
      <c r="H448">
        <v>0.623</v>
      </c>
      <c r="I448">
        <v>0.56699999999999995</v>
      </c>
      <c r="J448">
        <v>10</v>
      </c>
      <c r="K448">
        <v>-7.7789999999999999</v>
      </c>
      <c r="L448">
        <v>1</v>
      </c>
      <c r="M448">
        <v>3.6999999999999998E-2</v>
      </c>
      <c r="N448">
        <v>0.83099999999999996</v>
      </c>
      <c r="O448" s="9" t="s">
        <v>1372</v>
      </c>
      <c r="P448">
        <v>0.104</v>
      </c>
      <c r="Q448">
        <v>0.92900000000000005</v>
      </c>
      <c r="R448">
        <v>129.94900000000001</v>
      </c>
      <c r="S448">
        <v>4</v>
      </c>
      <c r="T448" t="s">
        <v>4</v>
      </c>
    </row>
    <row r="449" spans="1:20" x14ac:dyDescent="0.3">
      <c r="A449" t="s">
        <v>1373</v>
      </c>
      <c r="B449" t="s">
        <v>1049</v>
      </c>
      <c r="C449" t="s">
        <v>1374</v>
      </c>
      <c r="D449" t="s">
        <v>1375</v>
      </c>
      <c r="E449">
        <v>31</v>
      </c>
      <c r="F449">
        <v>165799</v>
      </c>
      <c r="G449" t="b">
        <v>0</v>
      </c>
      <c r="H449">
        <v>0.22800000000000001</v>
      </c>
      <c r="I449">
        <v>0.57399999999999995</v>
      </c>
      <c r="J449">
        <v>4</v>
      </c>
      <c r="K449">
        <v>-7.9589999999999996</v>
      </c>
      <c r="L449">
        <v>0</v>
      </c>
      <c r="M449">
        <v>4.2099999999999999E-2</v>
      </c>
      <c r="N449">
        <v>0.51700000000000002</v>
      </c>
      <c r="O449">
        <v>1.48E-3</v>
      </c>
      <c r="P449">
        <v>0.128</v>
      </c>
      <c r="Q449">
        <v>0.38900000000000001</v>
      </c>
      <c r="R449">
        <v>182.37899999999999</v>
      </c>
      <c r="S449">
        <v>4</v>
      </c>
      <c r="T449" t="s">
        <v>4</v>
      </c>
    </row>
    <row r="450" spans="1:20" x14ac:dyDescent="0.3">
      <c r="A450" t="s">
        <v>1376</v>
      </c>
      <c r="B450" t="s">
        <v>1296</v>
      </c>
      <c r="C450" t="s">
        <v>294</v>
      </c>
      <c r="D450" t="s">
        <v>1377</v>
      </c>
      <c r="E450">
        <v>0</v>
      </c>
      <c r="F450">
        <v>160666</v>
      </c>
      <c r="G450" t="b">
        <v>0</v>
      </c>
      <c r="H450">
        <v>0.80900000000000005</v>
      </c>
      <c r="I450">
        <v>0.313</v>
      </c>
      <c r="J450">
        <v>9</v>
      </c>
      <c r="K450">
        <v>-12.182</v>
      </c>
      <c r="L450">
        <v>1</v>
      </c>
      <c r="M450">
        <v>4.2799999999999998E-2</v>
      </c>
      <c r="N450">
        <v>0.876</v>
      </c>
      <c r="O450">
        <v>0</v>
      </c>
      <c r="P450">
        <v>0.112</v>
      </c>
      <c r="Q450">
        <v>0.35</v>
      </c>
      <c r="R450">
        <v>114.955</v>
      </c>
      <c r="S450">
        <v>4</v>
      </c>
      <c r="T450" t="s">
        <v>4</v>
      </c>
    </row>
    <row r="451" spans="1:20" x14ac:dyDescent="0.3">
      <c r="A451" t="s">
        <v>1378</v>
      </c>
      <c r="B451" t="s">
        <v>749</v>
      </c>
      <c r="C451" t="s">
        <v>750</v>
      </c>
      <c r="D451" t="s">
        <v>1379</v>
      </c>
      <c r="E451">
        <v>31</v>
      </c>
      <c r="F451">
        <v>195640</v>
      </c>
      <c r="G451" t="b">
        <v>0</v>
      </c>
      <c r="H451">
        <v>0.48199999999999998</v>
      </c>
      <c r="I451">
        <v>0.77200000000000002</v>
      </c>
      <c r="J451">
        <v>1</v>
      </c>
      <c r="K451">
        <v>-5.1280000000000001</v>
      </c>
      <c r="L451">
        <v>1</v>
      </c>
      <c r="M451">
        <v>3.1800000000000002E-2</v>
      </c>
      <c r="N451">
        <v>2.6499999999999999E-2</v>
      </c>
      <c r="O451">
        <v>0</v>
      </c>
      <c r="P451">
        <v>0.26900000000000002</v>
      </c>
      <c r="Q451">
        <v>0.58599999999999997</v>
      </c>
      <c r="R451">
        <v>129.91</v>
      </c>
      <c r="S451">
        <v>4</v>
      </c>
      <c r="T451" t="s">
        <v>4</v>
      </c>
    </row>
    <row r="452" spans="1:20" x14ac:dyDescent="0.3">
      <c r="A452" t="s">
        <v>1380</v>
      </c>
      <c r="B452" t="s">
        <v>156</v>
      </c>
      <c r="C452" t="s">
        <v>1381</v>
      </c>
      <c r="D452" t="s">
        <v>1382</v>
      </c>
      <c r="E452">
        <v>45</v>
      </c>
      <c r="F452">
        <v>254296</v>
      </c>
      <c r="G452" t="b">
        <v>0</v>
      </c>
      <c r="H452">
        <v>0.42499999999999999</v>
      </c>
      <c r="I452">
        <v>0.249</v>
      </c>
      <c r="J452">
        <v>4</v>
      </c>
      <c r="K452">
        <v>-12.218999999999999</v>
      </c>
      <c r="L452">
        <v>0</v>
      </c>
      <c r="M452">
        <v>3.5499999999999997E-2</v>
      </c>
      <c r="N452">
        <v>0.87</v>
      </c>
      <c r="O452">
        <v>1.75E-3</v>
      </c>
      <c r="P452">
        <v>0.124</v>
      </c>
      <c r="Q452">
        <v>0.23499999999999999</v>
      </c>
      <c r="R452">
        <v>123.63200000000001</v>
      </c>
      <c r="S452">
        <v>4</v>
      </c>
      <c r="T452" t="s">
        <v>4</v>
      </c>
    </row>
    <row r="453" spans="1:20" x14ac:dyDescent="0.3">
      <c r="A453" t="s">
        <v>1383</v>
      </c>
      <c r="B453" t="s">
        <v>1073</v>
      </c>
      <c r="C453" t="s">
        <v>1384</v>
      </c>
      <c r="D453" t="s">
        <v>1385</v>
      </c>
      <c r="E453">
        <v>56</v>
      </c>
      <c r="F453">
        <v>256361</v>
      </c>
      <c r="G453" t="b">
        <v>0</v>
      </c>
      <c r="H453">
        <v>0.29799999999999999</v>
      </c>
      <c r="I453">
        <v>4.3999999999999997E-2</v>
      </c>
      <c r="J453">
        <v>5</v>
      </c>
      <c r="K453">
        <v>-20.175999999999998</v>
      </c>
      <c r="L453">
        <v>1</v>
      </c>
      <c r="M453">
        <v>3.5000000000000003E-2</v>
      </c>
      <c r="N453">
        <v>0.98299999999999998</v>
      </c>
      <c r="O453">
        <v>0.124</v>
      </c>
      <c r="P453">
        <v>0.10100000000000001</v>
      </c>
      <c r="Q453">
        <v>0.115</v>
      </c>
      <c r="R453">
        <v>85.707999999999998</v>
      </c>
      <c r="S453">
        <v>4</v>
      </c>
      <c r="T453" t="s">
        <v>4</v>
      </c>
    </row>
    <row r="454" spans="1:20" x14ac:dyDescent="0.3">
      <c r="A454" t="s">
        <v>1386</v>
      </c>
      <c r="B454" t="s">
        <v>772</v>
      </c>
      <c r="C454" t="s">
        <v>1387</v>
      </c>
      <c r="D454" t="s">
        <v>1388</v>
      </c>
      <c r="E454">
        <v>45</v>
      </c>
      <c r="F454">
        <v>297266</v>
      </c>
      <c r="G454" t="b">
        <v>0</v>
      </c>
      <c r="H454">
        <v>0.46800000000000003</v>
      </c>
      <c r="I454">
        <v>0.254</v>
      </c>
      <c r="J454">
        <v>6</v>
      </c>
      <c r="K454">
        <v>-11.839</v>
      </c>
      <c r="L454">
        <v>1</v>
      </c>
      <c r="M454">
        <v>3.0300000000000001E-2</v>
      </c>
      <c r="N454">
        <v>0.93799999999999994</v>
      </c>
      <c r="O454">
        <v>4.4200000000000001E-4</v>
      </c>
      <c r="P454">
        <v>0.107</v>
      </c>
      <c r="Q454">
        <v>0.24199999999999999</v>
      </c>
      <c r="R454">
        <v>135.86199999999999</v>
      </c>
      <c r="S454">
        <v>4</v>
      </c>
      <c r="T454" t="s">
        <v>4</v>
      </c>
    </row>
    <row r="455" spans="1:20" x14ac:dyDescent="0.3">
      <c r="A455" t="s">
        <v>1389</v>
      </c>
      <c r="B455" t="s">
        <v>1390</v>
      </c>
      <c r="C455" t="s">
        <v>608</v>
      </c>
      <c r="D455" t="s">
        <v>608</v>
      </c>
      <c r="E455">
        <v>42</v>
      </c>
      <c r="F455">
        <v>170125</v>
      </c>
      <c r="G455" t="b">
        <v>0</v>
      </c>
      <c r="H455">
        <v>0.50700000000000001</v>
      </c>
      <c r="I455">
        <v>0.191</v>
      </c>
      <c r="J455">
        <v>5</v>
      </c>
      <c r="K455">
        <v>-16.341999999999999</v>
      </c>
      <c r="L455">
        <v>1</v>
      </c>
      <c r="M455">
        <v>4.0800000000000003E-2</v>
      </c>
      <c r="N455">
        <v>0.99</v>
      </c>
      <c r="O455">
        <v>0.93300000000000005</v>
      </c>
      <c r="P455">
        <v>0.108</v>
      </c>
      <c r="Q455">
        <v>0.221</v>
      </c>
      <c r="R455">
        <v>132.131</v>
      </c>
      <c r="S455">
        <v>4</v>
      </c>
      <c r="T455" t="s">
        <v>4</v>
      </c>
    </row>
    <row r="456" spans="1:20" x14ac:dyDescent="0.3">
      <c r="A456" t="s">
        <v>1391</v>
      </c>
      <c r="B456" t="s">
        <v>411</v>
      </c>
      <c r="C456" t="s">
        <v>411</v>
      </c>
      <c r="D456" t="s">
        <v>542</v>
      </c>
      <c r="E456">
        <v>46</v>
      </c>
      <c r="F456">
        <v>273026</v>
      </c>
      <c r="G456" t="b">
        <v>0</v>
      </c>
      <c r="H456">
        <v>0.51500000000000001</v>
      </c>
      <c r="I456">
        <v>0.249</v>
      </c>
      <c r="J456">
        <v>8</v>
      </c>
      <c r="K456">
        <v>-10.108000000000001</v>
      </c>
      <c r="L456">
        <v>0</v>
      </c>
      <c r="M456">
        <v>4.3999999999999997E-2</v>
      </c>
      <c r="N456">
        <v>0.79300000000000004</v>
      </c>
      <c r="O456">
        <v>0</v>
      </c>
      <c r="P456">
        <v>0.10199999999999999</v>
      </c>
      <c r="Q456">
        <v>0.21299999999999999</v>
      </c>
      <c r="R456">
        <v>108.89</v>
      </c>
      <c r="S456">
        <v>5</v>
      </c>
      <c r="T456" t="s">
        <v>4</v>
      </c>
    </row>
    <row r="457" spans="1:20" x14ac:dyDescent="0.3">
      <c r="A457" t="s">
        <v>1392</v>
      </c>
      <c r="B457" t="s">
        <v>402</v>
      </c>
      <c r="C457" t="s">
        <v>1393</v>
      </c>
      <c r="D457" t="s">
        <v>1394</v>
      </c>
      <c r="E457">
        <v>50</v>
      </c>
      <c r="F457">
        <v>182826</v>
      </c>
      <c r="G457" t="b">
        <v>0</v>
      </c>
      <c r="H457">
        <v>0.56499999999999995</v>
      </c>
      <c r="I457">
        <v>0.89</v>
      </c>
      <c r="J457">
        <v>0</v>
      </c>
      <c r="K457">
        <v>-5.4809999999999999</v>
      </c>
      <c r="L457">
        <v>1</v>
      </c>
      <c r="M457">
        <v>2.8500000000000001E-2</v>
      </c>
      <c r="N457">
        <v>5.3699999999999998E-3</v>
      </c>
      <c r="O457" s="9" t="s">
        <v>1395</v>
      </c>
      <c r="P457">
        <v>0.21299999999999999</v>
      </c>
      <c r="Q457">
        <v>0.74399999999999999</v>
      </c>
      <c r="R457">
        <v>119.86199999999999</v>
      </c>
      <c r="S457">
        <v>4</v>
      </c>
      <c r="T457" t="s">
        <v>4</v>
      </c>
    </row>
    <row r="458" spans="1:20" x14ac:dyDescent="0.3">
      <c r="A458" t="s">
        <v>1396</v>
      </c>
      <c r="B458" t="s">
        <v>1397</v>
      </c>
      <c r="C458" t="s">
        <v>1398</v>
      </c>
      <c r="D458" t="s">
        <v>1399</v>
      </c>
      <c r="E458">
        <v>45</v>
      </c>
      <c r="F458">
        <v>217373</v>
      </c>
      <c r="G458" t="b">
        <v>0</v>
      </c>
      <c r="H458">
        <v>0.63500000000000001</v>
      </c>
      <c r="I458">
        <v>0.433</v>
      </c>
      <c r="J458">
        <v>11</v>
      </c>
      <c r="K458">
        <v>-7.6820000000000004</v>
      </c>
      <c r="L458">
        <v>0</v>
      </c>
      <c r="M458">
        <v>2.9000000000000001E-2</v>
      </c>
      <c r="N458">
        <v>0.86</v>
      </c>
      <c r="O458">
        <v>0.43</v>
      </c>
      <c r="P458">
        <v>8.77E-2</v>
      </c>
      <c r="Q458">
        <v>0.48899999999999999</v>
      </c>
      <c r="R458">
        <v>130.11099999999999</v>
      </c>
      <c r="S458">
        <v>4</v>
      </c>
      <c r="T458" t="s">
        <v>4</v>
      </c>
    </row>
    <row r="459" spans="1:20" x14ac:dyDescent="0.3">
      <c r="A459" t="s">
        <v>1400</v>
      </c>
      <c r="B459" t="s">
        <v>1401</v>
      </c>
      <c r="C459" t="s">
        <v>1402</v>
      </c>
      <c r="D459" t="s">
        <v>1403</v>
      </c>
      <c r="E459">
        <v>56</v>
      </c>
      <c r="F459">
        <v>208102</v>
      </c>
      <c r="G459" t="b">
        <v>0</v>
      </c>
      <c r="H459">
        <v>0.65700000000000003</v>
      </c>
      <c r="I459">
        <v>0.192</v>
      </c>
      <c r="J459">
        <v>10</v>
      </c>
      <c r="K459">
        <v>-13.108000000000001</v>
      </c>
      <c r="L459">
        <v>0</v>
      </c>
      <c r="M459">
        <v>3.6499999999999998E-2</v>
      </c>
      <c r="N459">
        <v>0.89400000000000002</v>
      </c>
      <c r="O459">
        <v>0</v>
      </c>
      <c r="P459">
        <v>0.157</v>
      </c>
      <c r="Q459">
        <v>0.30499999999999999</v>
      </c>
      <c r="R459">
        <v>130.08699999999999</v>
      </c>
      <c r="S459">
        <v>4</v>
      </c>
      <c r="T459" t="s">
        <v>4</v>
      </c>
    </row>
    <row r="460" spans="1:20" x14ac:dyDescent="0.3">
      <c r="A460" t="s">
        <v>1404</v>
      </c>
      <c r="B460" t="s">
        <v>406</v>
      </c>
      <c r="C460" t="s">
        <v>1405</v>
      </c>
      <c r="D460" t="s">
        <v>1406</v>
      </c>
      <c r="E460">
        <v>43</v>
      </c>
      <c r="F460">
        <v>241120</v>
      </c>
      <c r="G460" t="b">
        <v>0</v>
      </c>
      <c r="H460">
        <v>0.45900000000000002</v>
      </c>
      <c r="I460">
        <v>0.14000000000000001</v>
      </c>
      <c r="J460">
        <v>9</v>
      </c>
      <c r="K460">
        <v>-15.481999999999999</v>
      </c>
      <c r="L460">
        <v>1</v>
      </c>
      <c r="M460">
        <v>3.6700000000000003E-2</v>
      </c>
      <c r="N460">
        <v>0.89500000000000002</v>
      </c>
      <c r="O460">
        <v>5.6499999999999996E-3</v>
      </c>
      <c r="P460">
        <v>0.13800000000000001</v>
      </c>
      <c r="Q460">
        <v>0.14599999999999999</v>
      </c>
      <c r="R460">
        <v>128.904</v>
      </c>
      <c r="S460">
        <v>4</v>
      </c>
      <c r="T460" t="s">
        <v>4</v>
      </c>
    </row>
    <row r="461" spans="1:20" x14ac:dyDescent="0.3">
      <c r="A461" t="s">
        <v>1407</v>
      </c>
      <c r="B461" t="s">
        <v>1408</v>
      </c>
      <c r="C461" t="s">
        <v>1409</v>
      </c>
      <c r="D461" t="s">
        <v>1409</v>
      </c>
      <c r="E461">
        <v>39</v>
      </c>
      <c r="F461">
        <v>235000</v>
      </c>
      <c r="G461" t="b">
        <v>0</v>
      </c>
      <c r="H461">
        <v>0.39100000000000001</v>
      </c>
      <c r="I461">
        <v>0.31</v>
      </c>
      <c r="J461">
        <v>7</v>
      </c>
      <c r="K461">
        <v>-8.7059999999999995</v>
      </c>
      <c r="L461">
        <v>1</v>
      </c>
      <c r="M461">
        <v>2.6800000000000001E-2</v>
      </c>
      <c r="N461">
        <v>0.61399999999999999</v>
      </c>
      <c r="O461" s="9" t="s">
        <v>1410</v>
      </c>
      <c r="P461">
        <v>0.1</v>
      </c>
      <c r="Q461">
        <v>0.29499999999999998</v>
      </c>
      <c r="R461">
        <v>83.46</v>
      </c>
      <c r="S461">
        <v>4</v>
      </c>
      <c r="T461" t="s">
        <v>4</v>
      </c>
    </row>
    <row r="462" spans="1:20" x14ac:dyDescent="0.3">
      <c r="A462" t="s">
        <v>1411</v>
      </c>
      <c r="B462" t="s">
        <v>235</v>
      </c>
      <c r="C462" t="s">
        <v>1412</v>
      </c>
      <c r="D462" t="s">
        <v>1412</v>
      </c>
      <c r="E462">
        <v>53</v>
      </c>
      <c r="F462">
        <v>172766</v>
      </c>
      <c r="G462" t="b">
        <v>0</v>
      </c>
      <c r="H462">
        <v>0.371</v>
      </c>
      <c r="I462">
        <v>0.20799999999999999</v>
      </c>
      <c r="J462">
        <v>11</v>
      </c>
      <c r="K462">
        <v>-13.167</v>
      </c>
      <c r="L462">
        <v>1</v>
      </c>
      <c r="M462">
        <v>4.6199999999999998E-2</v>
      </c>
      <c r="N462">
        <v>0.91200000000000003</v>
      </c>
      <c r="O462">
        <v>0</v>
      </c>
      <c r="P462">
        <v>0.105</v>
      </c>
      <c r="Q462">
        <v>0.309</v>
      </c>
      <c r="R462">
        <v>199.80500000000001</v>
      </c>
      <c r="S462">
        <v>4</v>
      </c>
      <c r="T462" t="s">
        <v>4</v>
      </c>
    </row>
    <row r="463" spans="1:20" x14ac:dyDescent="0.3">
      <c r="A463" t="s">
        <v>1413</v>
      </c>
      <c r="B463" t="s">
        <v>258</v>
      </c>
      <c r="C463" t="s">
        <v>428</v>
      </c>
      <c r="D463" t="s">
        <v>1414</v>
      </c>
      <c r="E463">
        <v>45</v>
      </c>
      <c r="F463">
        <v>239855</v>
      </c>
      <c r="G463" t="b">
        <v>0</v>
      </c>
      <c r="H463">
        <v>0.45300000000000001</v>
      </c>
      <c r="I463">
        <v>0.46100000000000002</v>
      </c>
      <c r="J463">
        <v>0</v>
      </c>
      <c r="K463">
        <v>-9.3279999999999994</v>
      </c>
      <c r="L463">
        <v>0</v>
      </c>
      <c r="M463">
        <v>3.2899999999999999E-2</v>
      </c>
      <c r="N463">
        <v>0.16500000000000001</v>
      </c>
      <c r="O463">
        <v>0</v>
      </c>
      <c r="P463">
        <v>0.109</v>
      </c>
      <c r="Q463">
        <v>8.4400000000000003E-2</v>
      </c>
      <c r="R463">
        <v>106.84</v>
      </c>
      <c r="S463">
        <v>5</v>
      </c>
      <c r="T463" t="s">
        <v>4</v>
      </c>
    </row>
    <row r="464" spans="1:20" x14ac:dyDescent="0.3">
      <c r="A464" t="s">
        <v>1415</v>
      </c>
      <c r="B464" t="s">
        <v>40</v>
      </c>
      <c r="C464" t="s">
        <v>1416</v>
      </c>
      <c r="D464" t="s">
        <v>42</v>
      </c>
      <c r="E464">
        <v>32</v>
      </c>
      <c r="F464">
        <v>244800</v>
      </c>
      <c r="G464" t="b">
        <v>0</v>
      </c>
      <c r="H464">
        <v>0.627</v>
      </c>
      <c r="I464">
        <v>0.36299999999999999</v>
      </c>
      <c r="J464">
        <v>8</v>
      </c>
      <c r="K464">
        <v>-8.1270000000000007</v>
      </c>
      <c r="L464">
        <v>1</v>
      </c>
      <c r="M464">
        <v>2.9100000000000001E-2</v>
      </c>
      <c r="N464">
        <v>0.27900000000000003</v>
      </c>
      <c r="O464">
        <v>0</v>
      </c>
      <c r="P464">
        <v>9.2799999999999994E-2</v>
      </c>
      <c r="Q464">
        <v>0.30099999999999999</v>
      </c>
      <c r="R464">
        <v>99.905000000000001</v>
      </c>
      <c r="S464">
        <v>4</v>
      </c>
      <c r="T464" t="s">
        <v>4</v>
      </c>
    </row>
    <row r="465" spans="1:20" x14ac:dyDescent="0.3">
      <c r="A465" t="s">
        <v>1417</v>
      </c>
      <c r="B465" t="s">
        <v>235</v>
      </c>
      <c r="C465" t="s">
        <v>1418</v>
      </c>
      <c r="D465" t="s">
        <v>1418</v>
      </c>
      <c r="E465">
        <v>53</v>
      </c>
      <c r="F465">
        <v>141286</v>
      </c>
      <c r="G465" t="b">
        <v>0</v>
      </c>
      <c r="H465">
        <v>0.70599999999999996</v>
      </c>
      <c r="I465">
        <v>0.248</v>
      </c>
      <c r="J465">
        <v>11</v>
      </c>
      <c r="K465">
        <v>-12.724</v>
      </c>
      <c r="L465">
        <v>1</v>
      </c>
      <c r="M465">
        <v>3.8600000000000002E-2</v>
      </c>
      <c r="N465">
        <v>0.879</v>
      </c>
      <c r="O465">
        <v>0</v>
      </c>
      <c r="P465">
        <v>0.10100000000000001</v>
      </c>
      <c r="Q465">
        <v>0.40100000000000002</v>
      </c>
      <c r="R465">
        <v>125.515</v>
      </c>
      <c r="S465">
        <v>4</v>
      </c>
      <c r="T465" t="s">
        <v>4</v>
      </c>
    </row>
    <row r="466" spans="1:20" x14ac:dyDescent="0.3">
      <c r="A466" t="s">
        <v>1419</v>
      </c>
      <c r="B466" t="s">
        <v>1401</v>
      </c>
      <c r="C466" t="s">
        <v>1420</v>
      </c>
      <c r="D466" t="s">
        <v>1420</v>
      </c>
      <c r="E466">
        <v>54</v>
      </c>
      <c r="F466">
        <v>145514</v>
      </c>
      <c r="G466" t="b">
        <v>0</v>
      </c>
      <c r="H466">
        <v>0.72399999999999998</v>
      </c>
      <c r="I466">
        <v>0.28000000000000003</v>
      </c>
      <c r="J466">
        <v>9</v>
      </c>
      <c r="K466">
        <v>-12.788</v>
      </c>
      <c r="L466">
        <v>1</v>
      </c>
      <c r="M466">
        <v>3.0300000000000001E-2</v>
      </c>
      <c r="N466">
        <v>0.755</v>
      </c>
      <c r="O466">
        <v>0</v>
      </c>
      <c r="P466">
        <v>0.32600000000000001</v>
      </c>
      <c r="Q466">
        <v>0.52700000000000002</v>
      </c>
      <c r="R466">
        <v>106.96599999999999</v>
      </c>
      <c r="S466">
        <v>4</v>
      </c>
      <c r="T466" t="s">
        <v>4</v>
      </c>
    </row>
    <row r="467" spans="1:20" x14ac:dyDescent="0.3">
      <c r="A467" t="s">
        <v>1421</v>
      </c>
      <c r="B467" t="s">
        <v>380</v>
      </c>
      <c r="C467" t="s">
        <v>1422</v>
      </c>
      <c r="D467" t="s">
        <v>1422</v>
      </c>
      <c r="E467">
        <v>51</v>
      </c>
      <c r="F467">
        <v>223386</v>
      </c>
      <c r="G467" t="b">
        <v>0</v>
      </c>
      <c r="H467">
        <v>0.53500000000000003</v>
      </c>
      <c r="I467">
        <v>0.44400000000000001</v>
      </c>
      <c r="J467">
        <v>6</v>
      </c>
      <c r="K467">
        <v>-11.212</v>
      </c>
      <c r="L467">
        <v>1</v>
      </c>
      <c r="M467">
        <v>2.9100000000000001E-2</v>
      </c>
      <c r="N467">
        <v>0.66900000000000004</v>
      </c>
      <c r="O467">
        <v>2.7799999999999998E-2</v>
      </c>
      <c r="P467">
        <v>0.104</v>
      </c>
      <c r="Q467">
        <v>0.217</v>
      </c>
      <c r="R467">
        <v>83.99</v>
      </c>
      <c r="S467">
        <v>4</v>
      </c>
      <c r="T467" t="s">
        <v>4</v>
      </c>
    </row>
    <row r="468" spans="1:20" x14ac:dyDescent="0.3">
      <c r="A468" t="s">
        <v>1423</v>
      </c>
      <c r="B468" t="s">
        <v>854</v>
      </c>
      <c r="C468" t="s">
        <v>1424</v>
      </c>
      <c r="D468" t="s">
        <v>1424</v>
      </c>
      <c r="E468">
        <v>55</v>
      </c>
      <c r="F468">
        <v>136542</v>
      </c>
      <c r="G468" t="b">
        <v>0</v>
      </c>
      <c r="H468">
        <v>0.65800000000000003</v>
      </c>
      <c r="I468">
        <v>0.125</v>
      </c>
      <c r="J468">
        <v>8</v>
      </c>
      <c r="K468">
        <v>-15.901</v>
      </c>
      <c r="L468">
        <v>1</v>
      </c>
      <c r="M468">
        <v>3.2300000000000002E-2</v>
      </c>
      <c r="N468">
        <v>0.877</v>
      </c>
      <c r="O468">
        <v>0</v>
      </c>
      <c r="P468">
        <v>0.28699999999999998</v>
      </c>
      <c r="Q468">
        <v>0.50700000000000001</v>
      </c>
      <c r="R468">
        <v>106.68600000000001</v>
      </c>
      <c r="S468">
        <v>4</v>
      </c>
      <c r="T468" t="s">
        <v>4</v>
      </c>
    </row>
    <row r="469" spans="1:20" x14ac:dyDescent="0.3">
      <c r="A469" t="s">
        <v>1425</v>
      </c>
      <c r="B469" t="s">
        <v>63</v>
      </c>
      <c r="C469" t="s">
        <v>1426</v>
      </c>
      <c r="D469" t="s">
        <v>1426</v>
      </c>
      <c r="E469">
        <v>33</v>
      </c>
      <c r="F469">
        <v>211358</v>
      </c>
      <c r="G469" t="b">
        <v>0</v>
      </c>
      <c r="H469">
        <v>0.71099999999999997</v>
      </c>
      <c r="I469">
        <v>0.16800000000000001</v>
      </c>
      <c r="J469">
        <v>0</v>
      </c>
      <c r="K469">
        <v>-16.504000000000001</v>
      </c>
      <c r="L469">
        <v>1</v>
      </c>
      <c r="M469">
        <v>3.6700000000000003E-2</v>
      </c>
      <c r="N469">
        <v>0.86799999999999999</v>
      </c>
      <c r="O469" s="9" t="s">
        <v>1364</v>
      </c>
      <c r="P469">
        <v>0.114</v>
      </c>
      <c r="Q469">
        <v>0.29899999999999999</v>
      </c>
      <c r="R469">
        <v>109.937</v>
      </c>
      <c r="S469">
        <v>4</v>
      </c>
      <c r="T469" t="s">
        <v>4</v>
      </c>
    </row>
    <row r="470" spans="1:20" x14ac:dyDescent="0.3">
      <c r="A470" t="s">
        <v>1427</v>
      </c>
      <c r="B470" t="s">
        <v>195</v>
      </c>
      <c r="C470" t="s">
        <v>1428</v>
      </c>
      <c r="D470" t="s">
        <v>1429</v>
      </c>
      <c r="E470">
        <v>55</v>
      </c>
      <c r="F470">
        <v>76453</v>
      </c>
      <c r="G470" t="b">
        <v>0</v>
      </c>
      <c r="H470">
        <v>0.504</v>
      </c>
      <c r="I470">
        <v>0.41499999999999998</v>
      </c>
      <c r="J470">
        <v>8</v>
      </c>
      <c r="K470">
        <v>-19.308</v>
      </c>
      <c r="L470">
        <v>0</v>
      </c>
      <c r="M470">
        <v>0.121</v>
      </c>
      <c r="N470">
        <v>0.879</v>
      </c>
      <c r="O470">
        <v>0.49399999999999999</v>
      </c>
      <c r="P470">
        <v>0.35</v>
      </c>
      <c r="Q470">
        <v>0.626</v>
      </c>
      <c r="R470">
        <v>114.26300000000001</v>
      </c>
      <c r="S470">
        <v>4</v>
      </c>
      <c r="T470" t="s">
        <v>4</v>
      </c>
    </row>
    <row r="471" spans="1:20" x14ac:dyDescent="0.3">
      <c r="A471" t="s">
        <v>1430</v>
      </c>
      <c r="B471" t="s">
        <v>676</v>
      </c>
      <c r="C471" t="s">
        <v>1431</v>
      </c>
      <c r="D471" t="s">
        <v>1432</v>
      </c>
      <c r="E471">
        <v>46</v>
      </c>
      <c r="F471">
        <v>273126</v>
      </c>
      <c r="G471" t="b">
        <v>0</v>
      </c>
      <c r="H471">
        <v>0.309</v>
      </c>
      <c r="I471">
        <v>0.17499999999999999</v>
      </c>
      <c r="J471">
        <v>8</v>
      </c>
      <c r="K471">
        <v>-11.816000000000001</v>
      </c>
      <c r="L471">
        <v>1</v>
      </c>
      <c r="M471">
        <v>3.3099999999999997E-2</v>
      </c>
      <c r="N471">
        <v>0.91300000000000003</v>
      </c>
      <c r="O471" s="9" t="s">
        <v>1433</v>
      </c>
      <c r="P471">
        <v>0.11799999999999999</v>
      </c>
      <c r="Q471">
        <v>0.19800000000000001</v>
      </c>
      <c r="R471">
        <v>155.69</v>
      </c>
      <c r="S471">
        <v>3</v>
      </c>
      <c r="T471" t="s">
        <v>4</v>
      </c>
    </row>
    <row r="472" spans="1:20" x14ac:dyDescent="0.3">
      <c r="A472" t="s">
        <v>1434</v>
      </c>
      <c r="B472" t="s">
        <v>1182</v>
      </c>
      <c r="C472" t="s">
        <v>1435</v>
      </c>
      <c r="D472" t="s">
        <v>1436</v>
      </c>
      <c r="E472">
        <v>30</v>
      </c>
      <c r="F472">
        <v>268736</v>
      </c>
      <c r="G472" t="b">
        <v>0</v>
      </c>
      <c r="H472">
        <v>0.628</v>
      </c>
      <c r="I472">
        <v>2.7E-2</v>
      </c>
      <c r="J472">
        <v>11</v>
      </c>
      <c r="K472">
        <v>-13.64</v>
      </c>
      <c r="L472">
        <v>0</v>
      </c>
      <c r="M472">
        <v>4.8500000000000001E-2</v>
      </c>
      <c r="N472">
        <v>0.94399999999999995</v>
      </c>
      <c r="O472">
        <v>5.9999999999999995E-4</v>
      </c>
      <c r="P472">
        <v>9.0899999999999995E-2</v>
      </c>
      <c r="Q472">
        <v>0.20300000000000001</v>
      </c>
      <c r="R472">
        <v>122.00700000000001</v>
      </c>
      <c r="S472">
        <v>4</v>
      </c>
      <c r="T472" t="s">
        <v>4</v>
      </c>
    </row>
    <row r="473" spans="1:20" x14ac:dyDescent="0.3">
      <c r="A473" t="s">
        <v>1437</v>
      </c>
      <c r="B473" t="s">
        <v>258</v>
      </c>
      <c r="C473" t="s">
        <v>1438</v>
      </c>
      <c r="D473" t="s">
        <v>1438</v>
      </c>
      <c r="E473">
        <v>46</v>
      </c>
      <c r="F473">
        <v>205658</v>
      </c>
      <c r="G473" t="b">
        <v>0</v>
      </c>
      <c r="H473">
        <v>0.49</v>
      </c>
      <c r="I473">
        <v>0.67400000000000004</v>
      </c>
      <c r="J473">
        <v>1</v>
      </c>
      <c r="K473">
        <v>-7.2759999999999998</v>
      </c>
      <c r="L473">
        <v>1</v>
      </c>
      <c r="M473">
        <v>3.2199999999999999E-2</v>
      </c>
      <c r="N473">
        <v>0.19</v>
      </c>
      <c r="O473">
        <v>1.4300000000000001E-4</v>
      </c>
      <c r="P473">
        <v>6.3399999999999998E-2</v>
      </c>
      <c r="Q473">
        <v>0.28799999999999998</v>
      </c>
      <c r="R473">
        <v>122.807</v>
      </c>
      <c r="S473">
        <v>4</v>
      </c>
      <c r="T473" t="s">
        <v>4</v>
      </c>
    </row>
    <row r="474" spans="1:20" x14ac:dyDescent="0.3">
      <c r="A474" t="s">
        <v>1439</v>
      </c>
      <c r="B474" t="s">
        <v>1440</v>
      </c>
      <c r="C474" t="s">
        <v>1441</v>
      </c>
      <c r="D474" t="s">
        <v>1442</v>
      </c>
      <c r="E474">
        <v>60</v>
      </c>
      <c r="F474">
        <v>256680</v>
      </c>
      <c r="G474" t="b">
        <v>0</v>
      </c>
      <c r="H474">
        <v>0.316</v>
      </c>
      <c r="I474">
        <v>0.41299999999999998</v>
      </c>
      <c r="J474">
        <v>11</v>
      </c>
      <c r="K474">
        <v>-12.215999999999999</v>
      </c>
      <c r="L474">
        <v>1</v>
      </c>
      <c r="M474">
        <v>3.3399999999999999E-2</v>
      </c>
      <c r="N474">
        <v>0.85599999999999998</v>
      </c>
      <c r="O474">
        <v>2.4499999999999999E-3</v>
      </c>
      <c r="P474">
        <v>0.14299999999999999</v>
      </c>
      <c r="Q474">
        <v>0.245</v>
      </c>
      <c r="R474">
        <v>155.69</v>
      </c>
      <c r="S474">
        <v>4</v>
      </c>
      <c r="T474" t="s">
        <v>4</v>
      </c>
    </row>
    <row r="475" spans="1:20" x14ac:dyDescent="0.3">
      <c r="A475" t="s">
        <v>1443</v>
      </c>
      <c r="B475" t="s">
        <v>258</v>
      </c>
      <c r="C475" t="s">
        <v>324</v>
      </c>
      <c r="D475" t="s">
        <v>1444</v>
      </c>
      <c r="E475">
        <v>51</v>
      </c>
      <c r="F475">
        <v>265386</v>
      </c>
      <c r="G475" t="b">
        <v>0</v>
      </c>
      <c r="H475">
        <v>0.47</v>
      </c>
      <c r="I475">
        <v>0.27100000000000002</v>
      </c>
      <c r="J475">
        <v>6</v>
      </c>
      <c r="K475">
        <v>-7.6360000000000001</v>
      </c>
      <c r="L475">
        <v>1</v>
      </c>
      <c r="M475">
        <v>3.4200000000000001E-2</v>
      </c>
      <c r="N475">
        <v>0.79900000000000004</v>
      </c>
      <c r="O475">
        <v>0</v>
      </c>
      <c r="P475">
        <v>0.11899999999999999</v>
      </c>
      <c r="Q475">
        <v>9.4299999999999995E-2</v>
      </c>
      <c r="R475">
        <v>145.90199999999999</v>
      </c>
      <c r="S475">
        <v>4</v>
      </c>
      <c r="T475" t="s">
        <v>4</v>
      </c>
    </row>
    <row r="476" spans="1:20" x14ac:dyDescent="0.3">
      <c r="A476" t="s">
        <v>1445</v>
      </c>
      <c r="B476" t="s">
        <v>676</v>
      </c>
      <c r="C476" t="s">
        <v>1446</v>
      </c>
      <c r="D476" t="s">
        <v>1447</v>
      </c>
      <c r="E476">
        <v>47</v>
      </c>
      <c r="F476">
        <v>219306</v>
      </c>
      <c r="G476" t="b">
        <v>0</v>
      </c>
      <c r="H476">
        <v>0.51500000000000001</v>
      </c>
      <c r="I476">
        <v>0.317</v>
      </c>
      <c r="J476">
        <v>9</v>
      </c>
      <c r="K476">
        <v>-10.286</v>
      </c>
      <c r="L476">
        <v>1</v>
      </c>
      <c r="M476">
        <v>2.8299999999999999E-2</v>
      </c>
      <c r="N476">
        <v>0.81599999999999995</v>
      </c>
      <c r="O476">
        <v>0</v>
      </c>
      <c r="P476">
        <v>9.7299999999999998E-2</v>
      </c>
      <c r="Q476">
        <v>0.51200000000000001</v>
      </c>
      <c r="R476">
        <v>79.91</v>
      </c>
      <c r="S476">
        <v>4</v>
      </c>
      <c r="T476" t="s">
        <v>4</v>
      </c>
    </row>
    <row r="477" spans="1:20" x14ac:dyDescent="0.3">
      <c r="A477" t="s">
        <v>1448</v>
      </c>
      <c r="B477" t="s">
        <v>251</v>
      </c>
      <c r="C477" t="s">
        <v>1449</v>
      </c>
      <c r="D477" t="s">
        <v>1449</v>
      </c>
      <c r="E477">
        <v>60</v>
      </c>
      <c r="F477">
        <v>142200</v>
      </c>
      <c r="G477" t="b">
        <v>0</v>
      </c>
      <c r="H477">
        <v>0.49299999999999999</v>
      </c>
      <c r="I477">
        <v>0.435</v>
      </c>
      <c r="J477">
        <v>7</v>
      </c>
      <c r="K477">
        <v>-12.334</v>
      </c>
      <c r="L477">
        <v>1</v>
      </c>
      <c r="M477">
        <v>4.2299999999999997E-2</v>
      </c>
      <c r="N477">
        <v>0.65600000000000003</v>
      </c>
      <c r="O477">
        <v>3.2699999999999998E-4</v>
      </c>
      <c r="P477">
        <v>0.11799999999999999</v>
      </c>
      <c r="Q477">
        <v>0.48499999999999999</v>
      </c>
      <c r="R477">
        <v>87.951999999999998</v>
      </c>
      <c r="S477">
        <v>4</v>
      </c>
      <c r="T477" t="s">
        <v>4</v>
      </c>
    </row>
    <row r="478" spans="1:20" x14ac:dyDescent="0.3">
      <c r="A478" t="s">
        <v>1450</v>
      </c>
      <c r="B478" t="s">
        <v>411</v>
      </c>
      <c r="C478" t="s">
        <v>416</v>
      </c>
      <c r="D478" t="s">
        <v>1451</v>
      </c>
      <c r="E478">
        <v>51</v>
      </c>
      <c r="F478">
        <v>218813</v>
      </c>
      <c r="G478" t="b">
        <v>0</v>
      </c>
      <c r="H478">
        <v>0.58899999999999997</v>
      </c>
      <c r="I478">
        <v>0.80900000000000005</v>
      </c>
      <c r="J478">
        <v>7</v>
      </c>
      <c r="K478">
        <v>-5.6</v>
      </c>
      <c r="L478">
        <v>1</v>
      </c>
      <c r="M478">
        <v>2.8299999999999999E-2</v>
      </c>
      <c r="N478">
        <v>4.7899999999999998E-2</v>
      </c>
      <c r="O478">
        <v>0</v>
      </c>
      <c r="P478">
        <v>0.11600000000000001</v>
      </c>
      <c r="Q478">
        <v>0.628</v>
      </c>
      <c r="R478">
        <v>87.013000000000005</v>
      </c>
      <c r="S478">
        <v>4</v>
      </c>
      <c r="T478" t="s">
        <v>4</v>
      </c>
    </row>
    <row r="479" spans="1:20" x14ac:dyDescent="0.3">
      <c r="A479" t="s">
        <v>1452</v>
      </c>
      <c r="B479" t="s">
        <v>1453</v>
      </c>
      <c r="C479" t="s">
        <v>72</v>
      </c>
      <c r="D479" t="s">
        <v>1454</v>
      </c>
      <c r="E479">
        <v>60</v>
      </c>
      <c r="F479">
        <v>222250</v>
      </c>
      <c r="G479" t="b">
        <v>0</v>
      </c>
      <c r="H479">
        <v>0.313</v>
      </c>
      <c r="I479">
        <v>0.32100000000000001</v>
      </c>
      <c r="J479">
        <v>8</v>
      </c>
      <c r="K479">
        <v>-8.7129999999999992</v>
      </c>
      <c r="L479">
        <v>1</v>
      </c>
      <c r="M479">
        <v>3.5200000000000002E-2</v>
      </c>
      <c r="N479">
        <v>0.746</v>
      </c>
      <c r="O479">
        <v>0</v>
      </c>
      <c r="P479">
        <v>9.4799999999999995E-2</v>
      </c>
      <c r="Q479">
        <v>0.24299999999999999</v>
      </c>
      <c r="R479">
        <v>53.844999999999999</v>
      </c>
      <c r="S479">
        <v>4</v>
      </c>
      <c r="T479" t="s">
        <v>4</v>
      </c>
    </row>
    <row r="480" spans="1:20" x14ac:dyDescent="0.3">
      <c r="A480" t="s">
        <v>1455</v>
      </c>
      <c r="B480" t="s">
        <v>1456</v>
      </c>
      <c r="C480" t="s">
        <v>1456</v>
      </c>
      <c r="D480" t="s">
        <v>1457</v>
      </c>
      <c r="E480">
        <v>52</v>
      </c>
      <c r="F480">
        <v>117760</v>
      </c>
      <c r="G480" t="b">
        <v>0</v>
      </c>
      <c r="H480">
        <v>0.30199999999999999</v>
      </c>
      <c r="I480">
        <v>7.8299999999999995E-2</v>
      </c>
      <c r="J480">
        <v>2</v>
      </c>
      <c r="K480">
        <v>-14.968</v>
      </c>
      <c r="L480">
        <v>1</v>
      </c>
      <c r="M480">
        <v>3.2500000000000001E-2</v>
      </c>
      <c r="N480">
        <v>0.95599999999999996</v>
      </c>
      <c r="O480" s="9" t="s">
        <v>1458</v>
      </c>
      <c r="P480">
        <v>0.12</v>
      </c>
      <c r="Q480">
        <v>0.23100000000000001</v>
      </c>
      <c r="R480">
        <v>140.48500000000001</v>
      </c>
      <c r="S480">
        <v>5</v>
      </c>
      <c r="T480" t="s">
        <v>4</v>
      </c>
    </row>
    <row r="481" spans="1:20" x14ac:dyDescent="0.3">
      <c r="A481" t="s">
        <v>1459</v>
      </c>
      <c r="B481" t="s">
        <v>1460</v>
      </c>
      <c r="C481" t="s">
        <v>1461</v>
      </c>
      <c r="D481" t="s">
        <v>1462</v>
      </c>
      <c r="E481">
        <v>54</v>
      </c>
      <c r="F481">
        <v>200800</v>
      </c>
      <c r="G481" t="b">
        <v>0</v>
      </c>
      <c r="H481">
        <v>0.64300000000000002</v>
      </c>
      <c r="I481">
        <v>0.436</v>
      </c>
      <c r="J481">
        <v>1</v>
      </c>
      <c r="K481">
        <v>-12.244999999999999</v>
      </c>
      <c r="L481">
        <v>1</v>
      </c>
      <c r="M481">
        <v>2.7300000000000001E-2</v>
      </c>
      <c r="N481">
        <v>0.72399999999999998</v>
      </c>
      <c r="O481">
        <v>0.45900000000000002</v>
      </c>
      <c r="P481">
        <v>0.11</v>
      </c>
      <c r="Q481">
        <v>0.42199999999999999</v>
      </c>
      <c r="R481">
        <v>91.484999999999999</v>
      </c>
      <c r="S481">
        <v>4</v>
      </c>
      <c r="T481" t="s">
        <v>4</v>
      </c>
    </row>
    <row r="482" spans="1:20" x14ac:dyDescent="0.3">
      <c r="A482" t="s">
        <v>1463</v>
      </c>
      <c r="B482" t="s">
        <v>285</v>
      </c>
      <c r="C482" t="s">
        <v>647</v>
      </c>
      <c r="D482" t="s">
        <v>1464</v>
      </c>
      <c r="E482">
        <v>52</v>
      </c>
      <c r="F482">
        <v>185053</v>
      </c>
      <c r="G482" t="b">
        <v>0</v>
      </c>
      <c r="H482">
        <v>0.48199999999999998</v>
      </c>
      <c r="I482">
        <v>0.17799999999999999</v>
      </c>
      <c r="J482">
        <v>2</v>
      </c>
      <c r="K482">
        <v>-11.141</v>
      </c>
      <c r="L482">
        <v>0</v>
      </c>
      <c r="M482">
        <v>2.92E-2</v>
      </c>
      <c r="N482">
        <v>0.84299999999999997</v>
      </c>
      <c r="O482" s="9" t="s">
        <v>1465</v>
      </c>
      <c r="P482">
        <v>0.15</v>
      </c>
      <c r="Q482">
        <v>0.29799999999999999</v>
      </c>
      <c r="R482">
        <v>110.128</v>
      </c>
      <c r="S482">
        <v>4</v>
      </c>
      <c r="T482" t="s">
        <v>4</v>
      </c>
    </row>
    <row r="483" spans="1:20" x14ac:dyDescent="0.3">
      <c r="A483" t="s">
        <v>1466</v>
      </c>
      <c r="B483" t="s">
        <v>129</v>
      </c>
      <c r="C483" t="s">
        <v>265</v>
      </c>
      <c r="D483" t="s">
        <v>1467</v>
      </c>
      <c r="E483">
        <v>51</v>
      </c>
      <c r="F483">
        <v>60413</v>
      </c>
      <c r="G483" t="b">
        <v>0</v>
      </c>
      <c r="H483">
        <v>0.53900000000000003</v>
      </c>
      <c r="I483">
        <v>0.35299999999999998</v>
      </c>
      <c r="J483">
        <v>3</v>
      </c>
      <c r="K483">
        <v>-10.191000000000001</v>
      </c>
      <c r="L483">
        <v>1</v>
      </c>
      <c r="M483">
        <v>4.6399999999999997E-2</v>
      </c>
      <c r="N483">
        <v>0.57099999999999995</v>
      </c>
      <c r="O483">
        <v>0.626</v>
      </c>
      <c r="P483">
        <v>8.77E-2</v>
      </c>
      <c r="Q483">
        <v>0.32100000000000001</v>
      </c>
      <c r="R483">
        <v>54.570999999999998</v>
      </c>
      <c r="S483">
        <v>4</v>
      </c>
      <c r="T483" t="s">
        <v>4</v>
      </c>
    </row>
    <row r="484" spans="1:20" x14ac:dyDescent="0.3">
      <c r="A484" t="s">
        <v>1468</v>
      </c>
      <c r="B484" t="s">
        <v>1469</v>
      </c>
      <c r="C484" t="s">
        <v>1470</v>
      </c>
      <c r="D484" t="s">
        <v>1471</v>
      </c>
      <c r="E484">
        <v>30</v>
      </c>
      <c r="F484">
        <v>244813</v>
      </c>
      <c r="G484" t="b">
        <v>0</v>
      </c>
      <c r="H484">
        <v>0.70699999999999996</v>
      </c>
      <c r="I484">
        <v>0.53100000000000003</v>
      </c>
      <c r="J484">
        <v>2</v>
      </c>
      <c r="K484">
        <v>-7.21</v>
      </c>
      <c r="L484">
        <v>1</v>
      </c>
      <c r="M484">
        <v>2.4500000000000001E-2</v>
      </c>
      <c r="N484">
        <v>0.85499999999999998</v>
      </c>
      <c r="O484">
        <v>1.8200000000000001E-4</v>
      </c>
      <c r="P484">
        <v>0.17499999999999999</v>
      </c>
      <c r="Q484">
        <v>0.49</v>
      </c>
      <c r="R484">
        <v>107.994</v>
      </c>
      <c r="S484">
        <v>4</v>
      </c>
      <c r="T484" t="s">
        <v>4</v>
      </c>
    </row>
    <row r="485" spans="1:20" x14ac:dyDescent="0.3">
      <c r="A485" t="s">
        <v>1472</v>
      </c>
      <c r="B485" t="s">
        <v>1469</v>
      </c>
      <c r="C485" t="s">
        <v>1470</v>
      </c>
      <c r="D485" t="s">
        <v>1473</v>
      </c>
      <c r="E485">
        <v>30</v>
      </c>
      <c r="F485">
        <v>169733</v>
      </c>
      <c r="G485" t="b">
        <v>0</v>
      </c>
      <c r="H485">
        <v>0.70699999999999996</v>
      </c>
      <c r="I485">
        <v>0.46700000000000003</v>
      </c>
      <c r="J485">
        <v>2</v>
      </c>
      <c r="K485">
        <v>-7.5110000000000001</v>
      </c>
      <c r="L485">
        <v>1</v>
      </c>
      <c r="M485">
        <v>3.6700000000000003E-2</v>
      </c>
      <c r="N485">
        <v>0.83199999999999996</v>
      </c>
      <c r="O485" s="9" t="s">
        <v>1474</v>
      </c>
      <c r="P485">
        <v>0.114</v>
      </c>
      <c r="Q485">
        <v>0.47799999999999998</v>
      </c>
      <c r="R485">
        <v>110.096</v>
      </c>
      <c r="S485">
        <v>4</v>
      </c>
      <c r="T485" t="s">
        <v>4</v>
      </c>
    </row>
    <row r="486" spans="1:20" x14ac:dyDescent="0.3">
      <c r="A486" t="s">
        <v>1475</v>
      </c>
      <c r="B486" t="s">
        <v>1476</v>
      </c>
      <c r="C486" t="s">
        <v>1477</v>
      </c>
      <c r="D486" t="s">
        <v>1478</v>
      </c>
      <c r="E486">
        <v>62</v>
      </c>
      <c r="F486">
        <v>188400</v>
      </c>
      <c r="G486" t="b">
        <v>0</v>
      </c>
      <c r="H486">
        <v>0.66100000000000003</v>
      </c>
      <c r="I486">
        <v>0.34200000000000003</v>
      </c>
      <c r="J486">
        <v>9</v>
      </c>
      <c r="K486">
        <v>-16.361000000000001</v>
      </c>
      <c r="L486">
        <v>0</v>
      </c>
      <c r="M486">
        <v>4.2999999999999997E-2</v>
      </c>
      <c r="N486">
        <v>0.84399999999999997</v>
      </c>
      <c r="O486">
        <v>1.2799999999999999E-4</v>
      </c>
      <c r="P486">
        <v>0.26</v>
      </c>
      <c r="Q486">
        <v>0.58799999999999997</v>
      </c>
      <c r="R486">
        <v>146.11799999999999</v>
      </c>
      <c r="S486">
        <v>4</v>
      </c>
      <c r="T486" t="s">
        <v>4</v>
      </c>
    </row>
    <row r="487" spans="1:20" x14ac:dyDescent="0.3">
      <c r="A487" t="s">
        <v>1479</v>
      </c>
      <c r="B487" t="s">
        <v>589</v>
      </c>
      <c r="C487" t="s">
        <v>590</v>
      </c>
      <c r="D487" t="s">
        <v>1134</v>
      </c>
      <c r="E487">
        <v>64</v>
      </c>
      <c r="F487">
        <v>274480</v>
      </c>
      <c r="G487" t="b">
        <v>0</v>
      </c>
      <c r="H487">
        <v>0.52300000000000002</v>
      </c>
      <c r="I487">
        <v>0.55400000000000005</v>
      </c>
      <c r="J487">
        <v>7</v>
      </c>
      <c r="K487">
        <v>-7.5960000000000001</v>
      </c>
      <c r="L487">
        <v>1</v>
      </c>
      <c r="M487">
        <v>3.0300000000000001E-2</v>
      </c>
      <c r="N487">
        <v>0.749</v>
      </c>
      <c r="O487" s="9" t="s">
        <v>1480</v>
      </c>
      <c r="P487">
        <v>0.32300000000000001</v>
      </c>
      <c r="Q487">
        <v>0.76900000000000002</v>
      </c>
      <c r="R487">
        <v>152.97900000000001</v>
      </c>
      <c r="S487">
        <v>4</v>
      </c>
      <c r="T487" t="s">
        <v>4</v>
      </c>
    </row>
    <row r="488" spans="1:20" x14ac:dyDescent="0.3">
      <c r="A488" t="s">
        <v>1481</v>
      </c>
      <c r="B488" t="s">
        <v>1482</v>
      </c>
      <c r="C488" t="s">
        <v>1483</v>
      </c>
      <c r="D488" t="s">
        <v>1484</v>
      </c>
      <c r="E488">
        <v>57</v>
      </c>
      <c r="F488">
        <v>275266</v>
      </c>
      <c r="G488" t="b">
        <v>0</v>
      </c>
      <c r="H488">
        <v>0.57199999999999995</v>
      </c>
      <c r="I488">
        <v>0.34799999999999998</v>
      </c>
      <c r="J488">
        <v>0</v>
      </c>
      <c r="K488">
        <v>-13.454000000000001</v>
      </c>
      <c r="L488">
        <v>1</v>
      </c>
      <c r="M488">
        <v>2.9399999999999999E-2</v>
      </c>
      <c r="N488">
        <v>0.44</v>
      </c>
      <c r="O488">
        <v>7.2099999999999996E-4</v>
      </c>
      <c r="P488">
        <v>0.23499999999999999</v>
      </c>
      <c r="Q488">
        <v>0.34</v>
      </c>
      <c r="R488">
        <v>73.304000000000002</v>
      </c>
      <c r="S488">
        <v>4</v>
      </c>
      <c r="T488" t="s">
        <v>4</v>
      </c>
    </row>
    <row r="489" spans="1:20" x14ac:dyDescent="0.3">
      <c r="A489" t="s">
        <v>1485</v>
      </c>
      <c r="B489" t="s">
        <v>1486</v>
      </c>
      <c r="C489" t="s">
        <v>1487</v>
      </c>
      <c r="D489" t="s">
        <v>1488</v>
      </c>
      <c r="E489">
        <v>31</v>
      </c>
      <c r="F489">
        <v>124400</v>
      </c>
      <c r="G489" t="b">
        <v>0</v>
      </c>
      <c r="H489">
        <v>0.55400000000000005</v>
      </c>
      <c r="I489">
        <v>0.4</v>
      </c>
      <c r="J489">
        <v>3</v>
      </c>
      <c r="K489">
        <v>-11.805999999999999</v>
      </c>
      <c r="L489">
        <v>1</v>
      </c>
      <c r="M489">
        <v>6.9900000000000004E-2</v>
      </c>
      <c r="N489">
        <v>0.97899999999999998</v>
      </c>
      <c r="O489">
        <v>0.34799999999999998</v>
      </c>
      <c r="P489">
        <v>0.10199999999999999</v>
      </c>
      <c r="Q489">
        <v>0.54700000000000004</v>
      </c>
      <c r="R489">
        <v>101.191</v>
      </c>
      <c r="S489">
        <v>4</v>
      </c>
      <c r="T489" t="s">
        <v>4</v>
      </c>
    </row>
    <row r="490" spans="1:20" x14ac:dyDescent="0.3">
      <c r="A490" t="s">
        <v>1489</v>
      </c>
      <c r="B490" t="s">
        <v>1490</v>
      </c>
      <c r="C490" t="s">
        <v>1490</v>
      </c>
      <c r="D490" t="s">
        <v>1491</v>
      </c>
      <c r="E490">
        <v>71</v>
      </c>
      <c r="F490">
        <v>145706</v>
      </c>
      <c r="G490" t="b">
        <v>0</v>
      </c>
      <c r="H490">
        <v>0.72599999999999998</v>
      </c>
      <c r="I490">
        <v>0.53700000000000003</v>
      </c>
      <c r="J490">
        <v>0</v>
      </c>
      <c r="K490">
        <v>-8.8960000000000008</v>
      </c>
      <c r="L490">
        <v>1</v>
      </c>
      <c r="M490">
        <v>0.114</v>
      </c>
      <c r="N490">
        <v>0.316</v>
      </c>
      <c r="O490">
        <v>0</v>
      </c>
      <c r="P490">
        <v>7.0699999999999999E-2</v>
      </c>
      <c r="Q490">
        <v>0.88200000000000001</v>
      </c>
      <c r="R490">
        <v>96.888999999999996</v>
      </c>
      <c r="S490">
        <v>4</v>
      </c>
      <c r="T490" t="s">
        <v>4</v>
      </c>
    </row>
    <row r="491" spans="1:20" x14ac:dyDescent="0.3">
      <c r="A491" t="s">
        <v>1492</v>
      </c>
      <c r="B491" t="s">
        <v>735</v>
      </c>
      <c r="C491" t="s">
        <v>1493</v>
      </c>
      <c r="D491" t="s">
        <v>1494</v>
      </c>
      <c r="E491">
        <v>31</v>
      </c>
      <c r="F491">
        <v>265195</v>
      </c>
      <c r="G491" t="b">
        <v>1</v>
      </c>
      <c r="H491">
        <v>0.501</v>
      </c>
      <c r="I491">
        <v>0.67200000000000004</v>
      </c>
      <c r="J491">
        <v>2</v>
      </c>
      <c r="K491">
        <v>-10.225</v>
      </c>
      <c r="L491">
        <v>0</v>
      </c>
      <c r="M491">
        <v>6.3700000000000007E-2</v>
      </c>
      <c r="N491">
        <v>0.67400000000000004</v>
      </c>
      <c r="O491">
        <v>1.6200000000000001E-4</v>
      </c>
      <c r="P491">
        <v>6.7400000000000002E-2</v>
      </c>
      <c r="Q491">
        <v>0.96099999999999997</v>
      </c>
      <c r="R491">
        <v>122.041</v>
      </c>
      <c r="S491">
        <v>4</v>
      </c>
      <c r="T491" t="s">
        <v>4</v>
      </c>
    </row>
    <row r="492" spans="1:20" x14ac:dyDescent="0.3">
      <c r="A492" t="s">
        <v>1495</v>
      </c>
      <c r="B492" t="s">
        <v>1496</v>
      </c>
      <c r="C492" t="s">
        <v>1497</v>
      </c>
      <c r="D492" t="s">
        <v>1498</v>
      </c>
      <c r="E492">
        <v>30</v>
      </c>
      <c r="F492">
        <v>235722</v>
      </c>
      <c r="G492" t="b">
        <v>0</v>
      </c>
      <c r="H492">
        <v>0.505</v>
      </c>
      <c r="I492">
        <v>0.46200000000000002</v>
      </c>
      <c r="J492">
        <v>6</v>
      </c>
      <c r="K492">
        <v>-5.6920000000000002</v>
      </c>
      <c r="L492">
        <v>1</v>
      </c>
      <c r="M492">
        <v>2.7099999999999999E-2</v>
      </c>
      <c r="N492">
        <v>0.623</v>
      </c>
      <c r="O492">
        <v>0</v>
      </c>
      <c r="P492">
        <v>0.113</v>
      </c>
      <c r="Q492">
        <v>0.113</v>
      </c>
      <c r="R492">
        <v>139.91399999999999</v>
      </c>
      <c r="S492">
        <v>4</v>
      </c>
      <c r="T492" t="s">
        <v>4</v>
      </c>
    </row>
    <row r="493" spans="1:20" x14ac:dyDescent="0.3">
      <c r="A493" t="s">
        <v>1499</v>
      </c>
      <c r="B493" t="s">
        <v>1053</v>
      </c>
      <c r="C493" t="s">
        <v>1356</v>
      </c>
      <c r="D493" t="s">
        <v>1500</v>
      </c>
      <c r="E493">
        <v>30</v>
      </c>
      <c r="F493">
        <v>188952</v>
      </c>
      <c r="G493" t="b">
        <v>1</v>
      </c>
      <c r="H493">
        <v>0.41499999999999998</v>
      </c>
      <c r="I493">
        <v>0.71299999999999997</v>
      </c>
      <c r="J493">
        <v>0</v>
      </c>
      <c r="K493">
        <v>-5.5289999999999999</v>
      </c>
      <c r="L493">
        <v>1</v>
      </c>
      <c r="M493">
        <v>3.4500000000000003E-2</v>
      </c>
      <c r="N493">
        <v>5.5500000000000001E-2</v>
      </c>
      <c r="O493">
        <v>0</v>
      </c>
      <c r="P493">
        <v>8.1100000000000005E-2</v>
      </c>
      <c r="Q493">
        <v>0.36099999999999999</v>
      </c>
      <c r="R493">
        <v>83.69</v>
      </c>
      <c r="S493">
        <v>3</v>
      </c>
      <c r="T493" t="s">
        <v>4</v>
      </c>
    </row>
    <row r="494" spans="1:20" x14ac:dyDescent="0.3">
      <c r="A494" t="s">
        <v>1501</v>
      </c>
      <c r="B494" t="s">
        <v>1502</v>
      </c>
      <c r="C494" t="s">
        <v>1503</v>
      </c>
      <c r="D494" t="s">
        <v>1504</v>
      </c>
      <c r="E494">
        <v>30</v>
      </c>
      <c r="F494">
        <v>241250</v>
      </c>
      <c r="G494" t="b">
        <v>0</v>
      </c>
      <c r="H494">
        <v>0.45800000000000002</v>
      </c>
      <c r="I494">
        <v>0.82299999999999995</v>
      </c>
      <c r="J494">
        <v>6</v>
      </c>
      <c r="K494">
        <v>-4.2679999999999998</v>
      </c>
      <c r="L494">
        <v>0</v>
      </c>
      <c r="M494">
        <v>6.1600000000000002E-2</v>
      </c>
      <c r="N494">
        <v>0.38200000000000001</v>
      </c>
      <c r="O494">
        <v>0</v>
      </c>
      <c r="P494">
        <v>0.20499999999999999</v>
      </c>
      <c r="Q494">
        <v>0.42199999999999999</v>
      </c>
      <c r="R494">
        <v>131.63800000000001</v>
      </c>
      <c r="S494">
        <v>4</v>
      </c>
      <c r="T494" t="s">
        <v>4</v>
      </c>
    </row>
    <row r="495" spans="1:20" x14ac:dyDescent="0.3">
      <c r="A495" t="s">
        <v>1505</v>
      </c>
      <c r="B495" t="s">
        <v>1053</v>
      </c>
      <c r="C495" t="s">
        <v>1356</v>
      </c>
      <c r="D495" t="s">
        <v>1506</v>
      </c>
      <c r="E495">
        <v>30</v>
      </c>
      <c r="F495">
        <v>146129</v>
      </c>
      <c r="G495" t="b">
        <v>1</v>
      </c>
      <c r="H495">
        <v>0.47399999999999998</v>
      </c>
      <c r="I495">
        <v>0.876</v>
      </c>
      <c r="J495">
        <v>7</v>
      </c>
      <c r="K495">
        <v>-5.0519999999999996</v>
      </c>
      <c r="L495">
        <v>1</v>
      </c>
      <c r="M495">
        <v>3.4099999999999998E-2</v>
      </c>
      <c r="N495">
        <v>2.7699999999999999E-3</v>
      </c>
      <c r="O495" s="9" t="s">
        <v>1507</v>
      </c>
      <c r="P495">
        <v>0.39</v>
      </c>
      <c r="Q495">
        <v>0.60699999999999998</v>
      </c>
      <c r="R495">
        <v>91.947999999999993</v>
      </c>
      <c r="S495">
        <v>4</v>
      </c>
      <c r="T495" t="s">
        <v>4</v>
      </c>
    </row>
    <row r="496" spans="1:20" x14ac:dyDescent="0.3">
      <c r="A496" t="s">
        <v>1508</v>
      </c>
      <c r="B496" t="s">
        <v>1049</v>
      </c>
      <c r="C496" t="s">
        <v>1374</v>
      </c>
      <c r="D496" t="s">
        <v>1509</v>
      </c>
      <c r="E496">
        <v>30</v>
      </c>
      <c r="F496">
        <v>161205</v>
      </c>
      <c r="G496" t="b">
        <v>1</v>
      </c>
      <c r="H496">
        <v>0.44400000000000001</v>
      </c>
      <c r="I496">
        <v>0.67400000000000004</v>
      </c>
      <c r="J496">
        <v>5</v>
      </c>
      <c r="K496">
        <v>-6.6749999999999998</v>
      </c>
      <c r="L496">
        <v>1</v>
      </c>
      <c r="M496">
        <v>3.4099999999999998E-2</v>
      </c>
      <c r="N496">
        <v>0.58599999999999997</v>
      </c>
      <c r="O496">
        <v>1.47E-4</v>
      </c>
      <c r="P496">
        <v>0.109</v>
      </c>
      <c r="Q496">
        <v>0.69799999999999995</v>
      </c>
      <c r="R496">
        <v>111.377</v>
      </c>
      <c r="S496">
        <v>3</v>
      </c>
      <c r="T496" t="s">
        <v>4</v>
      </c>
    </row>
    <row r="497" spans="1:20" x14ac:dyDescent="0.3">
      <c r="A497" t="s">
        <v>1510</v>
      </c>
      <c r="B497" t="s">
        <v>398</v>
      </c>
      <c r="C497" t="s">
        <v>1511</v>
      </c>
      <c r="D497" t="s">
        <v>1512</v>
      </c>
      <c r="E497">
        <v>59</v>
      </c>
      <c r="F497">
        <v>215213</v>
      </c>
      <c r="G497" t="b">
        <v>0</v>
      </c>
      <c r="H497">
        <v>0.56599999999999995</v>
      </c>
      <c r="I497">
        <v>0.73299999999999998</v>
      </c>
      <c r="J497">
        <v>4</v>
      </c>
      <c r="K497">
        <v>-5.3019999999999996</v>
      </c>
      <c r="L497">
        <v>1</v>
      </c>
      <c r="M497">
        <v>6.9900000000000004E-2</v>
      </c>
      <c r="N497">
        <v>8.3000000000000004E-2</v>
      </c>
      <c r="O497" s="9" t="s">
        <v>1513</v>
      </c>
      <c r="P497">
        <v>0.36199999999999999</v>
      </c>
      <c r="Q497">
        <v>0.63600000000000001</v>
      </c>
      <c r="R497">
        <v>178.828</v>
      </c>
      <c r="S497">
        <v>4</v>
      </c>
      <c r="T497" t="s">
        <v>4</v>
      </c>
    </row>
    <row r="498" spans="1:20" x14ac:dyDescent="0.3">
      <c r="A498" t="s">
        <v>1514</v>
      </c>
      <c r="B498" t="s">
        <v>1053</v>
      </c>
      <c r="C498" t="s">
        <v>1515</v>
      </c>
      <c r="D498" t="s">
        <v>1516</v>
      </c>
      <c r="E498">
        <v>30</v>
      </c>
      <c r="F498">
        <v>196813</v>
      </c>
      <c r="G498" t="b">
        <v>0</v>
      </c>
      <c r="H498">
        <v>0.36699999999999999</v>
      </c>
      <c r="I498">
        <v>0.89200000000000002</v>
      </c>
      <c r="J498">
        <v>2</v>
      </c>
      <c r="K498">
        <v>-3.91</v>
      </c>
      <c r="L498">
        <v>1</v>
      </c>
      <c r="M498">
        <v>0.13300000000000001</v>
      </c>
      <c r="N498">
        <v>1.2E-4</v>
      </c>
      <c r="O498">
        <v>2.6800000000000001E-4</v>
      </c>
      <c r="P498">
        <v>0.27600000000000002</v>
      </c>
      <c r="Q498">
        <v>0.79900000000000004</v>
      </c>
      <c r="R498">
        <v>81.927999999999997</v>
      </c>
      <c r="S498">
        <v>4</v>
      </c>
      <c r="T498" t="s">
        <v>4</v>
      </c>
    </row>
    <row r="499" spans="1:20" x14ac:dyDescent="0.3">
      <c r="A499" t="s">
        <v>1517</v>
      </c>
      <c r="B499" t="s">
        <v>1049</v>
      </c>
      <c r="C499" t="s">
        <v>1374</v>
      </c>
      <c r="D499" t="s">
        <v>1518</v>
      </c>
      <c r="E499">
        <v>30</v>
      </c>
      <c r="F499">
        <v>184217</v>
      </c>
      <c r="G499" t="b">
        <v>1</v>
      </c>
      <c r="H499">
        <v>0.25800000000000001</v>
      </c>
      <c r="I499">
        <v>0.72899999999999998</v>
      </c>
      <c r="J499">
        <v>4</v>
      </c>
      <c r="K499">
        <v>-6.4569999999999999</v>
      </c>
      <c r="L499">
        <v>0</v>
      </c>
      <c r="M499">
        <v>3.9800000000000002E-2</v>
      </c>
      <c r="N499">
        <v>0.39500000000000002</v>
      </c>
      <c r="O499">
        <v>4.4200000000000003E-3</v>
      </c>
      <c r="P499">
        <v>0.13100000000000001</v>
      </c>
      <c r="Q499">
        <v>0.46200000000000002</v>
      </c>
      <c r="R499">
        <v>116.943</v>
      </c>
      <c r="S499">
        <v>3</v>
      </c>
      <c r="T499" t="s">
        <v>4</v>
      </c>
    </row>
    <row r="500" spans="1:20" x14ac:dyDescent="0.3">
      <c r="A500" t="s">
        <v>1519</v>
      </c>
      <c r="B500" t="s">
        <v>136</v>
      </c>
      <c r="C500" t="s">
        <v>1520</v>
      </c>
      <c r="D500" t="s">
        <v>1521</v>
      </c>
      <c r="E500">
        <v>63</v>
      </c>
      <c r="F500">
        <v>230098</v>
      </c>
      <c r="G500" t="b">
        <v>0</v>
      </c>
      <c r="H500">
        <v>0.56799999999999995</v>
      </c>
      <c r="I500">
        <v>0.68600000000000005</v>
      </c>
      <c r="J500">
        <v>1</v>
      </c>
      <c r="K500">
        <v>-6.6349999999999998</v>
      </c>
      <c r="L500">
        <v>1</v>
      </c>
      <c r="M500">
        <v>3.3000000000000002E-2</v>
      </c>
      <c r="N500">
        <v>0.15</v>
      </c>
      <c r="O500" s="9" t="s">
        <v>139</v>
      </c>
      <c r="P500">
        <v>8.8099999999999998E-2</v>
      </c>
      <c r="Q500">
        <v>0.72499999999999998</v>
      </c>
      <c r="R500">
        <v>172.07499999999999</v>
      </c>
      <c r="S500">
        <v>4</v>
      </c>
      <c r="T500" t="s">
        <v>4</v>
      </c>
    </row>
    <row r="501" spans="1:20" x14ac:dyDescent="0.3">
      <c r="A501" s="11"/>
      <c r="B501" s="12"/>
      <c r="C501" s="12"/>
      <c r="D501" s="12"/>
      <c r="E501" s="12"/>
      <c r="F501" s="12"/>
      <c r="G501" s="12"/>
      <c r="H501" s="12"/>
      <c r="I501" s="12"/>
      <c r="J501" s="12"/>
      <c r="K501" s="12"/>
      <c r="L501" s="12"/>
      <c r="M501" s="12"/>
      <c r="N501" s="12"/>
      <c r="O501" s="12"/>
      <c r="P501" s="12"/>
      <c r="Q501" s="12"/>
      <c r="R501" s="12"/>
      <c r="S501" s="12"/>
      <c r="T501" s="13"/>
    </row>
    <row r="502" spans="1:20" x14ac:dyDescent="0.3">
      <c r="A502" s="5"/>
      <c r="B502" s="6"/>
      <c r="C502" s="6"/>
      <c r="D502" s="6"/>
      <c r="E502" s="6"/>
      <c r="F502" s="6"/>
      <c r="G502" s="6"/>
      <c r="H502" s="6"/>
      <c r="I502" s="6"/>
      <c r="J502" s="6"/>
      <c r="K502" s="6"/>
      <c r="L502" s="6"/>
      <c r="M502" s="6"/>
      <c r="N502" s="6"/>
      <c r="O502" s="6"/>
      <c r="P502" s="6"/>
      <c r="Q502" s="6"/>
      <c r="R502" s="6"/>
      <c r="S502" s="6"/>
      <c r="T502" s="8"/>
    </row>
    <row r="503" spans="1:20" x14ac:dyDescent="0.3">
      <c r="A503" s="1"/>
      <c r="B503" s="2"/>
      <c r="C503" s="2"/>
      <c r="D503" s="2"/>
      <c r="E503" s="2"/>
      <c r="F503" s="2"/>
      <c r="G503" s="2"/>
      <c r="H503" s="2"/>
      <c r="I503" s="2"/>
      <c r="J503" s="2"/>
      <c r="K503" s="2"/>
      <c r="L503" s="2"/>
      <c r="M503" s="2"/>
      <c r="N503" s="2"/>
      <c r="O503" s="2"/>
      <c r="P503" s="2"/>
      <c r="Q503" s="2"/>
      <c r="R503" s="2"/>
      <c r="S503" s="2"/>
      <c r="T503" s="4"/>
    </row>
    <row r="504" spans="1:20" x14ac:dyDescent="0.3">
      <c r="A504" s="5"/>
      <c r="B504" s="6"/>
      <c r="C504" s="6"/>
      <c r="D504" s="6"/>
      <c r="E504" s="6"/>
      <c r="F504" s="6"/>
      <c r="G504" s="6"/>
      <c r="H504" s="6"/>
      <c r="I504" s="6"/>
      <c r="J504" s="6"/>
      <c r="K504" s="6"/>
      <c r="L504" s="6"/>
      <c r="M504" s="6"/>
      <c r="N504" s="6"/>
      <c r="O504" s="6"/>
      <c r="P504" s="6"/>
      <c r="Q504" s="6"/>
      <c r="R504" s="6"/>
      <c r="S504" s="6"/>
      <c r="T504" s="8"/>
    </row>
    <row r="505" spans="1:20" x14ac:dyDescent="0.3">
      <c r="A505" s="1"/>
      <c r="B505" s="2"/>
      <c r="C505" s="2"/>
      <c r="D505" s="2"/>
      <c r="E505" s="2"/>
      <c r="F505" s="2"/>
      <c r="G505" s="2"/>
      <c r="H505" s="2"/>
      <c r="I505" s="2"/>
      <c r="J505" s="2"/>
      <c r="K505" s="2"/>
      <c r="L505" s="2"/>
      <c r="M505" s="2"/>
      <c r="N505" s="2"/>
      <c r="O505" s="2"/>
      <c r="P505" s="2"/>
      <c r="Q505" s="2"/>
      <c r="R505" s="2"/>
      <c r="S505" s="2"/>
      <c r="T505" s="4"/>
    </row>
    <row r="506" spans="1:20" x14ac:dyDescent="0.3">
      <c r="A506" s="5"/>
      <c r="B506" s="6"/>
      <c r="C506" s="6"/>
      <c r="D506" s="6"/>
      <c r="E506" s="6"/>
      <c r="F506" s="6"/>
      <c r="G506" s="6"/>
      <c r="H506" s="6"/>
      <c r="I506" s="6"/>
      <c r="J506" s="6"/>
      <c r="K506" s="6"/>
      <c r="L506" s="6"/>
      <c r="M506" s="6"/>
      <c r="N506" s="6"/>
      <c r="O506" s="6"/>
      <c r="P506" s="6"/>
      <c r="Q506" s="6"/>
      <c r="R506" s="6"/>
      <c r="S506" s="6"/>
      <c r="T506" s="8"/>
    </row>
    <row r="507" spans="1:20" x14ac:dyDescent="0.3">
      <c r="A507" s="1"/>
      <c r="B507" s="2"/>
      <c r="C507" s="2"/>
      <c r="D507" s="2"/>
      <c r="E507" s="2"/>
      <c r="F507" s="2"/>
      <c r="G507" s="2"/>
      <c r="H507" s="2"/>
      <c r="I507" s="2"/>
      <c r="J507" s="2"/>
      <c r="K507" s="2"/>
      <c r="L507" s="2"/>
      <c r="M507" s="2"/>
      <c r="N507" s="2"/>
      <c r="O507" s="2"/>
      <c r="P507" s="2"/>
      <c r="Q507" s="2"/>
      <c r="R507" s="2"/>
      <c r="S507" s="2"/>
      <c r="T507" s="4"/>
    </row>
    <row r="508" spans="1:20" x14ac:dyDescent="0.3">
      <c r="A508" s="5"/>
      <c r="B508" s="6"/>
      <c r="C508" s="6"/>
      <c r="D508" s="6"/>
      <c r="E508" s="6"/>
      <c r="F508" s="6"/>
      <c r="G508" s="6"/>
      <c r="H508" s="6"/>
      <c r="I508" s="6"/>
      <c r="J508" s="6"/>
      <c r="K508" s="6"/>
      <c r="L508" s="6"/>
      <c r="M508" s="6"/>
      <c r="N508" s="6"/>
      <c r="O508" s="6"/>
      <c r="P508" s="6"/>
      <c r="Q508" s="6"/>
      <c r="R508" s="6"/>
      <c r="S508" s="6"/>
      <c r="T508" s="8"/>
    </row>
    <row r="509" spans="1:20" x14ac:dyDescent="0.3">
      <c r="A509" s="1"/>
      <c r="B509" s="2"/>
      <c r="C509" s="2"/>
      <c r="D509" s="2"/>
      <c r="E509" s="2"/>
      <c r="F509" s="2"/>
      <c r="G509" s="2"/>
      <c r="H509" s="2"/>
      <c r="I509" s="2"/>
      <c r="J509" s="2"/>
      <c r="K509" s="2"/>
      <c r="L509" s="2"/>
      <c r="M509" s="2"/>
      <c r="N509" s="2"/>
      <c r="O509" s="2"/>
      <c r="P509" s="2"/>
      <c r="Q509" s="2"/>
      <c r="R509" s="2"/>
      <c r="S509" s="2"/>
      <c r="T509" s="4"/>
    </row>
    <row r="510" spans="1:20" x14ac:dyDescent="0.3">
      <c r="A510" s="5"/>
      <c r="B510" s="6"/>
      <c r="C510" s="6"/>
      <c r="D510" s="6"/>
      <c r="E510" s="6"/>
      <c r="F510" s="6"/>
      <c r="G510" s="6"/>
      <c r="H510" s="6"/>
      <c r="I510" s="6"/>
      <c r="J510" s="6"/>
      <c r="K510" s="6"/>
      <c r="L510" s="6"/>
      <c r="M510" s="6"/>
      <c r="N510" s="6"/>
      <c r="O510" s="6"/>
      <c r="P510" s="6"/>
      <c r="Q510" s="6"/>
      <c r="R510" s="6"/>
      <c r="S510" s="6"/>
      <c r="T510" s="8"/>
    </row>
    <row r="511" spans="1:20" x14ac:dyDescent="0.3">
      <c r="A511" s="1"/>
      <c r="B511" s="2"/>
      <c r="C511" s="2"/>
      <c r="D511" s="2"/>
      <c r="E511" s="2"/>
      <c r="F511" s="2"/>
      <c r="G511" s="2"/>
      <c r="H511" s="2"/>
      <c r="I511" s="2"/>
      <c r="J511" s="2"/>
      <c r="K511" s="2"/>
      <c r="L511" s="2"/>
      <c r="M511" s="2"/>
      <c r="N511" s="2"/>
      <c r="O511" s="2"/>
      <c r="P511" s="2"/>
      <c r="Q511" s="2"/>
      <c r="R511" s="2"/>
      <c r="S511" s="2"/>
      <c r="T511" s="4"/>
    </row>
    <row r="512" spans="1:20" x14ac:dyDescent="0.3">
      <c r="A512" s="5"/>
      <c r="B512" s="6"/>
      <c r="C512" s="6"/>
      <c r="D512" s="6"/>
      <c r="E512" s="6"/>
      <c r="F512" s="6"/>
      <c r="G512" s="6"/>
      <c r="H512" s="6"/>
      <c r="I512" s="6"/>
      <c r="J512" s="6"/>
      <c r="K512" s="6"/>
      <c r="L512" s="6"/>
      <c r="M512" s="6"/>
      <c r="N512" s="6"/>
      <c r="O512" s="6"/>
      <c r="P512" s="6"/>
      <c r="Q512" s="6"/>
      <c r="R512" s="6"/>
      <c r="S512" s="6"/>
      <c r="T512" s="8"/>
    </row>
    <row r="513" spans="1:20" x14ac:dyDescent="0.3">
      <c r="A513" s="1"/>
      <c r="B513" s="2"/>
      <c r="C513" s="2"/>
      <c r="D513" s="2"/>
      <c r="E513" s="2"/>
      <c r="F513" s="2"/>
      <c r="G513" s="2"/>
      <c r="H513" s="2"/>
      <c r="I513" s="2"/>
      <c r="J513" s="2"/>
      <c r="K513" s="2"/>
      <c r="L513" s="2"/>
      <c r="M513" s="2"/>
      <c r="N513" s="2"/>
      <c r="O513" s="2"/>
      <c r="P513" s="2"/>
      <c r="Q513" s="2"/>
      <c r="R513" s="2"/>
      <c r="S513" s="2"/>
      <c r="T513" s="4"/>
    </row>
    <row r="514" spans="1:20" x14ac:dyDescent="0.3">
      <c r="A514" s="5"/>
      <c r="B514" s="6"/>
      <c r="C514" s="6"/>
      <c r="D514" s="6"/>
      <c r="E514" s="6"/>
      <c r="F514" s="6"/>
      <c r="G514" s="6"/>
      <c r="H514" s="6"/>
      <c r="I514" s="6"/>
      <c r="J514" s="6"/>
      <c r="K514" s="6"/>
      <c r="L514" s="6"/>
      <c r="M514" s="6"/>
      <c r="N514" s="6"/>
      <c r="O514" s="7"/>
      <c r="P514" s="6"/>
      <c r="Q514" s="6"/>
      <c r="R514" s="6"/>
      <c r="S514" s="6"/>
      <c r="T514" s="8"/>
    </row>
    <row r="515" spans="1:20" x14ac:dyDescent="0.3">
      <c r="A515" s="1"/>
      <c r="B515" s="2"/>
      <c r="C515" s="2"/>
      <c r="D515" s="2"/>
      <c r="E515" s="2"/>
      <c r="F515" s="2"/>
      <c r="G515" s="2"/>
      <c r="H515" s="2"/>
      <c r="I515" s="2"/>
      <c r="J515" s="2"/>
      <c r="K515" s="2"/>
      <c r="L515" s="2"/>
      <c r="M515" s="2"/>
      <c r="N515" s="2"/>
      <c r="O515" s="2"/>
      <c r="P515" s="2"/>
      <c r="Q515" s="2"/>
      <c r="R515" s="2"/>
      <c r="S515" s="2"/>
      <c r="T515" s="4"/>
    </row>
    <row r="516" spans="1:20" x14ac:dyDescent="0.3">
      <c r="A516" s="5"/>
      <c r="B516" s="6"/>
      <c r="C516" s="6"/>
      <c r="D516" s="6"/>
      <c r="E516" s="6"/>
      <c r="F516" s="6"/>
      <c r="G516" s="6"/>
      <c r="H516" s="6"/>
      <c r="I516" s="6"/>
      <c r="J516" s="6"/>
      <c r="K516" s="6"/>
      <c r="L516" s="6"/>
      <c r="M516" s="6"/>
      <c r="N516" s="6"/>
      <c r="O516" s="6"/>
      <c r="P516" s="6"/>
      <c r="Q516" s="6"/>
      <c r="R516" s="6"/>
      <c r="S516" s="6"/>
      <c r="T516" s="8"/>
    </row>
    <row r="517" spans="1:20" x14ac:dyDescent="0.3">
      <c r="A517" s="1"/>
      <c r="B517" s="2"/>
      <c r="C517" s="2"/>
      <c r="D517" s="2"/>
      <c r="E517" s="2"/>
      <c r="F517" s="2"/>
      <c r="G517" s="2"/>
      <c r="H517" s="2"/>
      <c r="I517" s="2"/>
      <c r="J517" s="2"/>
      <c r="K517" s="2"/>
      <c r="L517" s="2"/>
      <c r="M517" s="2"/>
      <c r="N517" s="2"/>
      <c r="O517" s="3"/>
      <c r="P517" s="2"/>
      <c r="Q517" s="2"/>
      <c r="R517" s="2"/>
      <c r="S517" s="2"/>
      <c r="T517" s="4"/>
    </row>
    <row r="518" spans="1:20" x14ac:dyDescent="0.3">
      <c r="A518" s="5"/>
      <c r="B518" s="6"/>
      <c r="C518" s="6"/>
      <c r="D518" s="6"/>
      <c r="E518" s="6"/>
      <c r="F518" s="6"/>
      <c r="G518" s="6"/>
      <c r="H518" s="6"/>
      <c r="I518" s="6"/>
      <c r="J518" s="6"/>
      <c r="K518" s="6"/>
      <c r="L518" s="6"/>
      <c r="M518" s="6"/>
      <c r="N518" s="6"/>
      <c r="O518" s="7"/>
      <c r="P518" s="6"/>
      <c r="Q518" s="6"/>
      <c r="R518" s="6"/>
      <c r="S518" s="6"/>
      <c r="T518" s="8"/>
    </row>
    <row r="519" spans="1:20" x14ac:dyDescent="0.3">
      <c r="A519" s="1"/>
      <c r="B519" s="2"/>
      <c r="C519" s="2"/>
      <c r="D519" s="2"/>
      <c r="E519" s="2"/>
      <c r="F519" s="2"/>
      <c r="G519" s="2"/>
      <c r="H519" s="2"/>
      <c r="I519" s="2"/>
      <c r="J519" s="2"/>
      <c r="K519" s="2"/>
      <c r="L519" s="2"/>
      <c r="M519" s="2"/>
      <c r="N519" s="2"/>
      <c r="O519" s="2"/>
      <c r="P519" s="2"/>
      <c r="Q519" s="2"/>
      <c r="R519" s="2"/>
      <c r="S519" s="2"/>
      <c r="T519" s="4"/>
    </row>
    <row r="520" spans="1:20" x14ac:dyDescent="0.3">
      <c r="A520" s="5"/>
      <c r="B520" s="6"/>
      <c r="C520" s="6"/>
      <c r="D520" s="6"/>
      <c r="E520" s="6"/>
      <c r="F520" s="6"/>
      <c r="G520" s="6"/>
      <c r="H520" s="6"/>
      <c r="I520" s="6"/>
      <c r="J520" s="6"/>
      <c r="K520" s="6"/>
      <c r="L520" s="6"/>
      <c r="M520" s="6"/>
      <c r="N520" s="6"/>
      <c r="O520" s="6"/>
      <c r="P520" s="6"/>
      <c r="Q520" s="6"/>
      <c r="R520" s="6"/>
      <c r="S520" s="6"/>
      <c r="T520" s="8"/>
    </row>
    <row r="521" spans="1:20" x14ac:dyDescent="0.3">
      <c r="A521" s="1"/>
      <c r="B521" s="2"/>
      <c r="C521" s="2"/>
      <c r="D521" s="2"/>
      <c r="E521" s="2"/>
      <c r="F521" s="2"/>
      <c r="G521" s="2"/>
      <c r="H521" s="2"/>
      <c r="I521" s="2"/>
      <c r="J521" s="2"/>
      <c r="K521" s="2"/>
      <c r="L521" s="2"/>
      <c r="M521" s="2"/>
      <c r="N521" s="2"/>
      <c r="O521" s="2"/>
      <c r="P521" s="2"/>
      <c r="Q521" s="2"/>
      <c r="R521" s="2"/>
      <c r="S521" s="2"/>
      <c r="T521" s="4"/>
    </row>
    <row r="522" spans="1:20" x14ac:dyDescent="0.3">
      <c r="A522" s="5"/>
      <c r="B522" s="6"/>
      <c r="C522" s="6"/>
      <c r="D522" s="6"/>
      <c r="E522" s="6"/>
      <c r="F522" s="6"/>
      <c r="G522" s="6"/>
      <c r="H522" s="6"/>
      <c r="I522" s="6"/>
      <c r="J522" s="6"/>
      <c r="K522" s="6"/>
      <c r="L522" s="6"/>
      <c r="M522" s="6"/>
      <c r="N522" s="6"/>
      <c r="O522" s="6"/>
      <c r="P522" s="6"/>
      <c r="Q522" s="6"/>
      <c r="R522" s="6"/>
      <c r="S522" s="6"/>
      <c r="T522" s="8"/>
    </row>
    <row r="523" spans="1:20" x14ac:dyDescent="0.3">
      <c r="A523" s="1"/>
      <c r="B523" s="2"/>
      <c r="C523" s="2"/>
      <c r="D523" s="2"/>
      <c r="E523" s="2"/>
      <c r="F523" s="2"/>
      <c r="G523" s="2"/>
      <c r="H523" s="2"/>
      <c r="I523" s="2"/>
      <c r="J523" s="2"/>
      <c r="K523" s="2"/>
      <c r="L523" s="2"/>
      <c r="M523" s="2"/>
      <c r="N523" s="2"/>
      <c r="O523" s="3"/>
      <c r="P523" s="2"/>
      <c r="Q523" s="2"/>
      <c r="R523" s="2"/>
      <c r="S523" s="2"/>
      <c r="T523" s="4"/>
    </row>
    <row r="524" spans="1:20" x14ac:dyDescent="0.3">
      <c r="A524" s="5"/>
      <c r="B524" s="6"/>
      <c r="C524" s="6"/>
      <c r="D524" s="6"/>
      <c r="E524" s="6"/>
      <c r="F524" s="6"/>
      <c r="G524" s="6"/>
      <c r="H524" s="6"/>
      <c r="I524" s="6"/>
      <c r="J524" s="6"/>
      <c r="K524" s="6"/>
      <c r="L524" s="6"/>
      <c r="M524" s="6"/>
      <c r="N524" s="6"/>
      <c r="O524" s="6"/>
      <c r="P524" s="6"/>
      <c r="Q524" s="6"/>
      <c r="R524" s="6"/>
      <c r="S524" s="6"/>
      <c r="T524" s="8"/>
    </row>
    <row r="525" spans="1:20" x14ac:dyDescent="0.3">
      <c r="A525" s="1"/>
      <c r="B525" s="2"/>
      <c r="C525" s="2"/>
      <c r="D525" s="2"/>
      <c r="E525" s="2"/>
      <c r="F525" s="2"/>
      <c r="G525" s="2"/>
      <c r="H525" s="2"/>
      <c r="I525" s="2"/>
      <c r="J525" s="2"/>
      <c r="K525" s="2"/>
      <c r="L525" s="2"/>
      <c r="M525" s="2"/>
      <c r="N525" s="2"/>
      <c r="O525" s="2"/>
      <c r="P525" s="2"/>
      <c r="Q525" s="2"/>
      <c r="R525" s="2"/>
      <c r="S525" s="2"/>
      <c r="T525" s="4"/>
    </row>
    <row r="526" spans="1:20" x14ac:dyDescent="0.3">
      <c r="A526" s="5"/>
      <c r="B526" s="6"/>
      <c r="C526" s="6"/>
      <c r="D526" s="6"/>
      <c r="E526" s="6"/>
      <c r="F526" s="6"/>
      <c r="G526" s="6"/>
      <c r="H526" s="6"/>
      <c r="I526" s="6"/>
      <c r="J526" s="6"/>
      <c r="K526" s="6"/>
      <c r="L526" s="6"/>
      <c r="M526" s="6"/>
      <c r="N526" s="6"/>
      <c r="O526" s="6"/>
      <c r="P526" s="6"/>
      <c r="Q526" s="6"/>
      <c r="R526" s="6"/>
      <c r="S526" s="6"/>
      <c r="T526" s="8"/>
    </row>
    <row r="527" spans="1:20" x14ac:dyDescent="0.3">
      <c r="A527" s="1"/>
      <c r="B527" s="2"/>
      <c r="C527" s="2"/>
      <c r="D527" s="2"/>
      <c r="E527" s="2"/>
      <c r="F527" s="2"/>
      <c r="G527" s="2"/>
      <c r="H527" s="2"/>
      <c r="I527" s="2"/>
      <c r="J527" s="2"/>
      <c r="K527" s="2"/>
      <c r="L527" s="2"/>
      <c r="M527" s="2"/>
      <c r="N527" s="2"/>
      <c r="O527" s="2"/>
      <c r="P527" s="2"/>
      <c r="Q527" s="2"/>
      <c r="R527" s="2"/>
      <c r="S527" s="2"/>
      <c r="T527" s="4"/>
    </row>
    <row r="528" spans="1:20" x14ac:dyDescent="0.3">
      <c r="A528" s="5"/>
      <c r="B528" s="6"/>
      <c r="C528" s="6"/>
      <c r="D528" s="6"/>
      <c r="E528" s="6"/>
      <c r="F528" s="6"/>
      <c r="G528" s="6"/>
      <c r="H528" s="6"/>
      <c r="I528" s="6"/>
      <c r="J528" s="6"/>
      <c r="K528" s="6"/>
      <c r="L528" s="6"/>
      <c r="M528" s="6"/>
      <c r="N528" s="6"/>
      <c r="O528" s="6"/>
      <c r="P528" s="6"/>
      <c r="Q528" s="6"/>
      <c r="R528" s="6"/>
      <c r="S528" s="6"/>
      <c r="T528" s="8"/>
    </row>
    <row r="529" spans="1:20" x14ac:dyDescent="0.3">
      <c r="A529" s="1"/>
      <c r="B529" s="2"/>
      <c r="C529" s="2"/>
      <c r="D529" s="2"/>
      <c r="E529" s="2"/>
      <c r="F529" s="2"/>
      <c r="G529" s="2"/>
      <c r="H529" s="2"/>
      <c r="I529" s="2"/>
      <c r="J529" s="2"/>
      <c r="K529" s="2"/>
      <c r="L529" s="2"/>
      <c r="M529" s="2"/>
      <c r="N529" s="2"/>
      <c r="O529" s="2"/>
      <c r="P529" s="2"/>
      <c r="Q529" s="2"/>
      <c r="R529" s="2"/>
      <c r="S529" s="2"/>
      <c r="T529" s="4"/>
    </row>
    <row r="530" spans="1:20" x14ac:dyDescent="0.3">
      <c r="A530" s="5"/>
      <c r="B530" s="6"/>
      <c r="C530" s="6"/>
      <c r="D530" s="6"/>
      <c r="E530" s="6"/>
      <c r="F530" s="6"/>
      <c r="G530" s="6"/>
      <c r="H530" s="6"/>
      <c r="I530" s="6"/>
      <c r="J530" s="6"/>
      <c r="K530" s="6"/>
      <c r="L530" s="6"/>
      <c r="M530" s="6"/>
      <c r="N530" s="6"/>
      <c r="O530" s="6"/>
      <c r="P530" s="6"/>
      <c r="Q530" s="6"/>
      <c r="R530" s="6"/>
      <c r="S530" s="6"/>
      <c r="T530" s="8"/>
    </row>
    <row r="531" spans="1:20" x14ac:dyDescent="0.3">
      <c r="A531" s="1"/>
      <c r="B531" s="2"/>
      <c r="C531" s="2"/>
      <c r="D531" s="2"/>
      <c r="E531" s="2"/>
      <c r="F531" s="2"/>
      <c r="G531" s="2"/>
      <c r="H531" s="2"/>
      <c r="I531" s="2"/>
      <c r="J531" s="2"/>
      <c r="K531" s="2"/>
      <c r="L531" s="2"/>
      <c r="M531" s="2"/>
      <c r="N531" s="2"/>
      <c r="O531" s="2"/>
      <c r="P531" s="2"/>
      <c r="Q531" s="2"/>
      <c r="R531" s="2"/>
      <c r="S531" s="2"/>
      <c r="T531" s="4"/>
    </row>
    <row r="532" spans="1:20" x14ac:dyDescent="0.3">
      <c r="A532" s="5"/>
      <c r="B532" s="6"/>
      <c r="C532" s="6"/>
      <c r="D532" s="6"/>
      <c r="E532" s="6"/>
      <c r="F532" s="6"/>
      <c r="G532" s="6"/>
      <c r="H532" s="6"/>
      <c r="I532" s="6"/>
      <c r="J532" s="6"/>
      <c r="K532" s="6"/>
      <c r="L532" s="6"/>
      <c r="M532" s="6"/>
      <c r="N532" s="6"/>
      <c r="O532" s="6"/>
      <c r="P532" s="6"/>
      <c r="Q532" s="6"/>
      <c r="R532" s="6"/>
      <c r="S532" s="6"/>
      <c r="T532" s="8"/>
    </row>
    <row r="533" spans="1:20" x14ac:dyDescent="0.3">
      <c r="A533" s="1"/>
      <c r="B533" s="2"/>
      <c r="C533" s="2"/>
      <c r="D533" s="2"/>
      <c r="E533" s="2"/>
      <c r="F533" s="2"/>
      <c r="G533" s="2"/>
      <c r="H533" s="2"/>
      <c r="I533" s="2"/>
      <c r="J533" s="2"/>
      <c r="K533" s="2"/>
      <c r="L533" s="2"/>
      <c r="M533" s="2"/>
      <c r="N533" s="2"/>
      <c r="O533" s="2"/>
      <c r="P533" s="2"/>
      <c r="Q533" s="2"/>
      <c r="R533" s="2"/>
      <c r="S533" s="2"/>
      <c r="T533" s="4"/>
    </row>
    <row r="534" spans="1:20" x14ac:dyDescent="0.3">
      <c r="A534" s="5"/>
      <c r="B534" s="6"/>
      <c r="C534" s="6"/>
      <c r="D534" s="6"/>
      <c r="E534" s="6"/>
      <c r="F534" s="6"/>
      <c r="G534" s="6"/>
      <c r="H534" s="6"/>
      <c r="I534" s="6"/>
      <c r="J534" s="6"/>
      <c r="K534" s="6"/>
      <c r="L534" s="6"/>
      <c r="M534" s="6"/>
      <c r="N534" s="6"/>
      <c r="O534" s="7"/>
      <c r="P534" s="6"/>
      <c r="Q534" s="6"/>
      <c r="R534" s="6"/>
      <c r="S534" s="6"/>
      <c r="T534" s="8"/>
    </row>
    <row r="535" spans="1:20" x14ac:dyDescent="0.3">
      <c r="A535" s="1"/>
      <c r="B535" s="2"/>
      <c r="C535" s="2"/>
      <c r="D535" s="2"/>
      <c r="E535" s="2"/>
      <c r="F535" s="2"/>
      <c r="G535" s="2"/>
      <c r="H535" s="2"/>
      <c r="I535" s="2"/>
      <c r="J535" s="2"/>
      <c r="K535" s="2"/>
      <c r="L535" s="2"/>
      <c r="M535" s="2"/>
      <c r="N535" s="2"/>
      <c r="O535" s="2"/>
      <c r="P535" s="2"/>
      <c r="Q535" s="2"/>
      <c r="R535" s="2"/>
      <c r="S535" s="2"/>
      <c r="T535" s="4"/>
    </row>
    <row r="536" spans="1:20" x14ac:dyDescent="0.3">
      <c r="A536" s="5"/>
      <c r="B536" s="6"/>
      <c r="C536" s="6"/>
      <c r="D536" s="6"/>
      <c r="E536" s="6"/>
      <c r="F536" s="6"/>
      <c r="G536" s="6"/>
      <c r="H536" s="6"/>
      <c r="I536" s="6"/>
      <c r="J536" s="6"/>
      <c r="K536" s="6"/>
      <c r="L536" s="6"/>
      <c r="M536" s="6"/>
      <c r="N536" s="6"/>
      <c r="O536" s="6"/>
      <c r="P536" s="6"/>
      <c r="Q536" s="6"/>
      <c r="R536" s="6"/>
      <c r="S536" s="6"/>
      <c r="T536" s="8"/>
    </row>
    <row r="537" spans="1:20" x14ac:dyDescent="0.3">
      <c r="A537" s="1"/>
      <c r="B537" s="2"/>
      <c r="C537" s="2"/>
      <c r="D537" s="2"/>
      <c r="E537" s="2"/>
      <c r="F537" s="2"/>
      <c r="G537" s="2"/>
      <c r="H537" s="2"/>
      <c r="I537" s="2"/>
      <c r="J537" s="2"/>
      <c r="K537" s="2"/>
      <c r="L537" s="2"/>
      <c r="M537" s="2"/>
      <c r="N537" s="2"/>
      <c r="O537" s="2"/>
      <c r="P537" s="2"/>
      <c r="Q537" s="2"/>
      <c r="R537" s="2"/>
      <c r="S537" s="2"/>
      <c r="T537" s="4"/>
    </row>
    <row r="538" spans="1:20" x14ac:dyDescent="0.3">
      <c r="A538" s="5"/>
      <c r="B538" s="6"/>
      <c r="C538" s="6"/>
      <c r="D538" s="6"/>
      <c r="E538" s="6"/>
      <c r="F538" s="6"/>
      <c r="G538" s="6"/>
      <c r="H538" s="6"/>
      <c r="I538" s="6"/>
      <c r="J538" s="6"/>
      <c r="K538" s="6"/>
      <c r="L538" s="6"/>
      <c r="M538" s="6"/>
      <c r="N538" s="6"/>
      <c r="O538" s="6"/>
      <c r="P538" s="6"/>
      <c r="Q538" s="6"/>
      <c r="R538" s="6"/>
      <c r="S538" s="6"/>
      <c r="T538" s="8"/>
    </row>
    <row r="539" spans="1:20" x14ac:dyDescent="0.3">
      <c r="A539" s="1"/>
      <c r="B539" s="2"/>
      <c r="C539" s="2"/>
      <c r="D539" s="2"/>
      <c r="E539" s="2"/>
      <c r="F539" s="2"/>
      <c r="G539" s="2"/>
      <c r="H539" s="2"/>
      <c r="I539" s="2"/>
      <c r="J539" s="2"/>
      <c r="K539" s="2"/>
      <c r="L539" s="2"/>
      <c r="M539" s="2"/>
      <c r="N539" s="2"/>
      <c r="O539" s="3"/>
      <c r="P539" s="2"/>
      <c r="Q539" s="2"/>
      <c r="R539" s="2"/>
      <c r="S539" s="2"/>
      <c r="T539" s="4"/>
    </row>
    <row r="540" spans="1:20" x14ac:dyDescent="0.3">
      <c r="A540" s="5"/>
      <c r="B540" s="6"/>
      <c r="C540" s="6"/>
      <c r="D540" s="6"/>
      <c r="E540" s="6"/>
      <c r="F540" s="6"/>
      <c r="G540" s="6"/>
      <c r="H540" s="6"/>
      <c r="I540" s="6"/>
      <c r="J540" s="6"/>
      <c r="K540" s="6"/>
      <c r="L540" s="6"/>
      <c r="M540" s="6"/>
      <c r="N540" s="6"/>
      <c r="O540" s="6"/>
      <c r="P540" s="6"/>
      <c r="Q540" s="6"/>
      <c r="R540" s="6"/>
      <c r="S540" s="6"/>
      <c r="T540" s="8"/>
    </row>
    <row r="541" spans="1:20" x14ac:dyDescent="0.3">
      <c r="A541" s="1"/>
      <c r="B541" s="2"/>
      <c r="C541" s="2"/>
      <c r="D541" s="2"/>
      <c r="E541" s="2"/>
      <c r="F541" s="2"/>
      <c r="G541" s="2"/>
      <c r="H541" s="2"/>
      <c r="I541" s="2"/>
      <c r="J541" s="2"/>
      <c r="K541" s="2"/>
      <c r="L541" s="2"/>
      <c r="M541" s="2"/>
      <c r="N541" s="2"/>
      <c r="O541" s="3"/>
      <c r="P541" s="2"/>
      <c r="Q541" s="2"/>
      <c r="R541" s="2"/>
      <c r="S541" s="2"/>
      <c r="T541" s="4"/>
    </row>
    <row r="542" spans="1:20" x14ac:dyDescent="0.3">
      <c r="A542" s="5"/>
      <c r="B542" s="6"/>
      <c r="C542" s="6"/>
      <c r="D542" s="6"/>
      <c r="E542" s="6"/>
      <c r="F542" s="6"/>
      <c r="G542" s="6"/>
      <c r="H542" s="6"/>
      <c r="I542" s="6"/>
      <c r="J542" s="6"/>
      <c r="K542" s="6"/>
      <c r="L542" s="6"/>
      <c r="M542" s="6"/>
      <c r="N542" s="6"/>
      <c r="O542" s="6"/>
      <c r="P542" s="6"/>
      <c r="Q542" s="6"/>
      <c r="R542" s="6"/>
      <c r="S542" s="6"/>
      <c r="T542" s="8"/>
    </row>
    <row r="543" spans="1:20" x14ac:dyDescent="0.3">
      <c r="A543" s="1"/>
      <c r="B543" s="2"/>
      <c r="C543" s="2"/>
      <c r="D543" s="2"/>
      <c r="E543" s="2"/>
      <c r="F543" s="2"/>
      <c r="G543" s="2"/>
      <c r="H543" s="2"/>
      <c r="I543" s="2"/>
      <c r="J543" s="2"/>
      <c r="K543" s="2"/>
      <c r="L543" s="2"/>
      <c r="M543" s="2"/>
      <c r="N543" s="2"/>
      <c r="O543" s="2"/>
      <c r="P543" s="2"/>
      <c r="Q543" s="2"/>
      <c r="R543" s="2"/>
      <c r="S543" s="2"/>
      <c r="T543" s="4"/>
    </row>
    <row r="544" spans="1:20" x14ac:dyDescent="0.3">
      <c r="A544" s="5"/>
      <c r="B544" s="6"/>
      <c r="C544" s="6"/>
      <c r="D544" s="6"/>
      <c r="E544" s="6"/>
      <c r="F544" s="6"/>
      <c r="G544" s="6"/>
      <c r="H544" s="6"/>
      <c r="I544" s="6"/>
      <c r="J544" s="6"/>
      <c r="K544" s="6"/>
      <c r="L544" s="6"/>
      <c r="M544" s="6"/>
      <c r="N544" s="6"/>
      <c r="O544" s="7"/>
      <c r="P544" s="6"/>
      <c r="Q544" s="6"/>
      <c r="R544" s="6"/>
      <c r="S544" s="6"/>
      <c r="T544" s="8"/>
    </row>
    <row r="545" spans="1:20" x14ac:dyDescent="0.3">
      <c r="A545" s="1"/>
      <c r="B545" s="2"/>
      <c r="C545" s="2"/>
      <c r="D545" s="2"/>
      <c r="E545" s="2"/>
      <c r="F545" s="2"/>
      <c r="G545" s="2"/>
      <c r="H545" s="2"/>
      <c r="I545" s="2"/>
      <c r="J545" s="2"/>
      <c r="K545" s="2"/>
      <c r="L545" s="2"/>
      <c r="M545" s="2"/>
      <c r="N545" s="2"/>
      <c r="O545" s="2"/>
      <c r="P545" s="2"/>
      <c r="Q545" s="2"/>
      <c r="R545" s="2"/>
      <c r="S545" s="2"/>
      <c r="T545" s="4"/>
    </row>
    <row r="546" spans="1:20" x14ac:dyDescent="0.3">
      <c r="A546" s="5"/>
      <c r="B546" s="6"/>
      <c r="C546" s="6"/>
      <c r="D546" s="6"/>
      <c r="E546" s="6"/>
      <c r="F546" s="6"/>
      <c r="G546" s="6"/>
      <c r="H546" s="6"/>
      <c r="I546" s="6"/>
      <c r="J546" s="6"/>
      <c r="K546" s="6"/>
      <c r="L546" s="6"/>
      <c r="M546" s="6"/>
      <c r="N546" s="6"/>
      <c r="O546" s="6"/>
      <c r="P546" s="6"/>
      <c r="Q546" s="6"/>
      <c r="R546" s="6"/>
      <c r="S546" s="6"/>
      <c r="T546" s="8"/>
    </row>
    <row r="547" spans="1:20" x14ac:dyDescent="0.3">
      <c r="A547" s="1"/>
      <c r="B547" s="2"/>
      <c r="C547" s="2"/>
      <c r="D547" s="2"/>
      <c r="E547" s="2"/>
      <c r="F547" s="2"/>
      <c r="G547" s="2"/>
      <c r="H547" s="2"/>
      <c r="I547" s="2"/>
      <c r="J547" s="2"/>
      <c r="K547" s="2"/>
      <c r="L547" s="2"/>
      <c r="M547" s="2"/>
      <c r="N547" s="2"/>
      <c r="O547" s="3"/>
      <c r="P547" s="2"/>
      <c r="Q547" s="2"/>
      <c r="R547" s="2"/>
      <c r="S547" s="2"/>
      <c r="T547" s="4"/>
    </row>
    <row r="548" spans="1:20" x14ac:dyDescent="0.3">
      <c r="A548" s="5"/>
      <c r="B548" s="6"/>
      <c r="C548" s="6"/>
      <c r="D548" s="6"/>
      <c r="E548" s="6"/>
      <c r="F548" s="6"/>
      <c r="G548" s="6"/>
      <c r="H548" s="6"/>
      <c r="I548" s="6"/>
      <c r="J548" s="6"/>
      <c r="K548" s="6"/>
      <c r="L548" s="6"/>
      <c r="M548" s="6"/>
      <c r="N548" s="6"/>
      <c r="O548" s="6"/>
      <c r="P548" s="6"/>
      <c r="Q548" s="6"/>
      <c r="R548" s="6"/>
      <c r="S548" s="6"/>
      <c r="T548" s="8"/>
    </row>
    <row r="549" spans="1:20" x14ac:dyDescent="0.3">
      <c r="A549" s="1"/>
      <c r="B549" s="2"/>
      <c r="C549" s="2"/>
      <c r="D549" s="2"/>
      <c r="E549" s="2"/>
      <c r="F549" s="2"/>
      <c r="G549" s="2"/>
      <c r="H549" s="2"/>
      <c r="I549" s="2"/>
      <c r="J549" s="2"/>
      <c r="K549" s="2"/>
      <c r="L549" s="2"/>
      <c r="M549" s="2"/>
      <c r="N549" s="2"/>
      <c r="O549" s="2"/>
      <c r="P549" s="2"/>
      <c r="Q549" s="2"/>
      <c r="R549" s="2"/>
      <c r="S549" s="2"/>
      <c r="T549" s="4"/>
    </row>
    <row r="550" spans="1:20" x14ac:dyDescent="0.3">
      <c r="A550" s="5"/>
      <c r="B550" s="6"/>
      <c r="C550" s="6"/>
      <c r="D550" s="6"/>
      <c r="E550" s="6"/>
      <c r="F550" s="6"/>
      <c r="G550" s="6"/>
      <c r="H550" s="6"/>
      <c r="I550" s="6"/>
      <c r="J550" s="6"/>
      <c r="K550" s="6"/>
      <c r="L550" s="6"/>
      <c r="M550" s="6"/>
      <c r="N550" s="6"/>
      <c r="O550" s="6"/>
      <c r="P550" s="6"/>
      <c r="Q550" s="6"/>
      <c r="R550" s="6"/>
      <c r="S550" s="6"/>
      <c r="T550" s="8"/>
    </row>
    <row r="551" spans="1:20" x14ac:dyDescent="0.3">
      <c r="A551" s="1"/>
      <c r="B551" s="2"/>
      <c r="C551" s="2"/>
      <c r="D551" s="2"/>
      <c r="E551" s="2"/>
      <c r="F551" s="2"/>
      <c r="G551" s="2"/>
      <c r="H551" s="2"/>
      <c r="I551" s="2"/>
      <c r="J551" s="2"/>
      <c r="K551" s="2"/>
      <c r="L551" s="2"/>
      <c r="M551" s="2"/>
      <c r="N551" s="2"/>
      <c r="O551" s="2"/>
      <c r="P551" s="2"/>
      <c r="Q551" s="2"/>
      <c r="R551" s="2"/>
      <c r="S551" s="2"/>
      <c r="T551" s="4"/>
    </row>
    <row r="552" spans="1:20" x14ac:dyDescent="0.3">
      <c r="A552" s="5"/>
      <c r="B552" s="6"/>
      <c r="C552" s="6"/>
      <c r="D552" s="6"/>
      <c r="E552" s="6"/>
      <c r="F552" s="6"/>
      <c r="G552" s="6"/>
      <c r="H552" s="6"/>
      <c r="I552" s="6"/>
      <c r="J552" s="6"/>
      <c r="K552" s="6"/>
      <c r="L552" s="6"/>
      <c r="M552" s="6"/>
      <c r="N552" s="6"/>
      <c r="O552" s="6"/>
      <c r="P552" s="6"/>
      <c r="Q552" s="6"/>
      <c r="R552" s="6"/>
      <c r="S552" s="6"/>
      <c r="T552" s="8"/>
    </row>
    <row r="553" spans="1:20" x14ac:dyDescent="0.3">
      <c r="A553" s="1"/>
      <c r="B553" s="2"/>
      <c r="C553" s="2"/>
      <c r="D553" s="2"/>
      <c r="E553" s="2"/>
      <c r="F553" s="2"/>
      <c r="G553" s="2"/>
      <c r="H553" s="2"/>
      <c r="I553" s="2"/>
      <c r="J553" s="2"/>
      <c r="K553" s="2"/>
      <c r="L553" s="2"/>
      <c r="M553" s="2"/>
      <c r="N553" s="2"/>
      <c r="O553" s="2"/>
      <c r="P553" s="2"/>
      <c r="Q553" s="2"/>
      <c r="R553" s="2"/>
      <c r="S553" s="2"/>
      <c r="T553" s="4"/>
    </row>
    <row r="554" spans="1:20" x14ac:dyDescent="0.3">
      <c r="A554" s="5"/>
      <c r="B554" s="6"/>
      <c r="C554" s="6"/>
      <c r="D554" s="6"/>
      <c r="E554" s="6"/>
      <c r="F554" s="6"/>
      <c r="G554" s="6"/>
      <c r="H554" s="6"/>
      <c r="I554" s="6"/>
      <c r="J554" s="6"/>
      <c r="K554" s="6"/>
      <c r="L554" s="6"/>
      <c r="M554" s="6"/>
      <c r="N554" s="6"/>
      <c r="O554" s="6"/>
      <c r="P554" s="6"/>
      <c r="Q554" s="6"/>
      <c r="R554" s="6"/>
      <c r="S554" s="6"/>
      <c r="T554" s="8"/>
    </row>
    <row r="555" spans="1:20" x14ac:dyDescent="0.3">
      <c r="A555" s="1"/>
      <c r="B555" s="2"/>
      <c r="C555" s="2"/>
      <c r="D555" s="2"/>
      <c r="E555" s="2"/>
      <c r="F555" s="2"/>
      <c r="G555" s="2"/>
      <c r="H555" s="2"/>
      <c r="I555" s="2"/>
      <c r="J555" s="2"/>
      <c r="K555" s="2"/>
      <c r="L555" s="2"/>
      <c r="M555" s="2"/>
      <c r="N555" s="2"/>
      <c r="O555" s="3"/>
      <c r="P555" s="2"/>
      <c r="Q555" s="2"/>
      <c r="R555" s="2"/>
      <c r="S555" s="2"/>
      <c r="T555" s="4"/>
    </row>
    <row r="556" spans="1:20" x14ac:dyDescent="0.3">
      <c r="A556" s="5"/>
      <c r="B556" s="6"/>
      <c r="C556" s="6"/>
      <c r="D556" s="6"/>
      <c r="E556" s="6"/>
      <c r="F556" s="6"/>
      <c r="G556" s="6"/>
      <c r="H556" s="6"/>
      <c r="I556" s="6"/>
      <c r="J556" s="6"/>
      <c r="K556" s="6"/>
      <c r="L556" s="6"/>
      <c r="M556" s="6"/>
      <c r="N556" s="6"/>
      <c r="O556" s="6"/>
      <c r="P556" s="6"/>
      <c r="Q556" s="6"/>
      <c r="R556" s="6"/>
      <c r="S556" s="6"/>
      <c r="T556" s="8"/>
    </row>
    <row r="557" spans="1:20" x14ac:dyDescent="0.3">
      <c r="A557" s="1"/>
      <c r="B557" s="2"/>
      <c r="C557" s="2"/>
      <c r="D557" s="2"/>
      <c r="E557" s="2"/>
      <c r="F557" s="2"/>
      <c r="G557" s="2"/>
      <c r="H557" s="2"/>
      <c r="I557" s="2"/>
      <c r="J557" s="2"/>
      <c r="K557" s="2"/>
      <c r="L557" s="2"/>
      <c r="M557" s="2"/>
      <c r="N557" s="2"/>
      <c r="O557" s="2"/>
      <c r="P557" s="2"/>
      <c r="Q557" s="2"/>
      <c r="R557" s="2"/>
      <c r="S557" s="2"/>
      <c r="T557" s="4"/>
    </row>
    <row r="558" spans="1:20" x14ac:dyDescent="0.3">
      <c r="A558" s="5"/>
      <c r="B558" s="6"/>
      <c r="C558" s="6"/>
      <c r="D558" s="6"/>
      <c r="E558" s="6"/>
      <c r="F558" s="6"/>
      <c r="G558" s="6"/>
      <c r="H558" s="6"/>
      <c r="I558" s="6"/>
      <c r="J558" s="6"/>
      <c r="K558" s="6"/>
      <c r="L558" s="6"/>
      <c r="M558" s="6"/>
      <c r="N558" s="6"/>
      <c r="O558" s="6"/>
      <c r="P558" s="6"/>
      <c r="Q558" s="6"/>
      <c r="R558" s="6"/>
      <c r="S558" s="6"/>
      <c r="T558" s="8"/>
    </row>
    <row r="559" spans="1:20" x14ac:dyDescent="0.3">
      <c r="A559" s="1"/>
      <c r="B559" s="2"/>
      <c r="C559" s="2"/>
      <c r="D559" s="2"/>
      <c r="E559" s="2"/>
      <c r="F559" s="2"/>
      <c r="G559" s="2"/>
      <c r="H559" s="2"/>
      <c r="I559" s="2"/>
      <c r="J559" s="2"/>
      <c r="K559" s="2"/>
      <c r="L559" s="2"/>
      <c r="M559" s="2"/>
      <c r="N559" s="2"/>
      <c r="O559" s="2"/>
      <c r="P559" s="2"/>
      <c r="Q559" s="2"/>
      <c r="R559" s="2"/>
      <c r="S559" s="2"/>
      <c r="T559" s="4"/>
    </row>
    <row r="560" spans="1:20" x14ac:dyDescent="0.3">
      <c r="A560" s="5"/>
      <c r="B560" s="6"/>
      <c r="C560" s="6"/>
      <c r="D560" s="6"/>
      <c r="E560" s="6"/>
      <c r="F560" s="6"/>
      <c r="G560" s="6"/>
      <c r="H560" s="6"/>
      <c r="I560" s="6"/>
      <c r="J560" s="6"/>
      <c r="K560" s="6"/>
      <c r="L560" s="6"/>
      <c r="M560" s="6"/>
      <c r="N560" s="6"/>
      <c r="O560" s="6"/>
      <c r="P560" s="6"/>
      <c r="Q560" s="6"/>
      <c r="R560" s="6"/>
      <c r="S560" s="6"/>
      <c r="T560" s="8"/>
    </row>
    <row r="561" spans="1:20" x14ac:dyDescent="0.3">
      <c r="A561" s="1"/>
      <c r="B561" s="2"/>
      <c r="C561" s="2"/>
      <c r="D561" s="2"/>
      <c r="E561" s="2"/>
      <c r="F561" s="2"/>
      <c r="G561" s="2"/>
      <c r="H561" s="2"/>
      <c r="I561" s="2"/>
      <c r="J561" s="2"/>
      <c r="K561" s="2"/>
      <c r="L561" s="2"/>
      <c r="M561" s="2"/>
      <c r="N561" s="2"/>
      <c r="O561" s="3"/>
      <c r="P561" s="2"/>
      <c r="Q561" s="2"/>
      <c r="R561" s="2"/>
      <c r="S561" s="2"/>
      <c r="T561" s="4"/>
    </row>
    <row r="562" spans="1:20" x14ac:dyDescent="0.3">
      <c r="A562" s="5"/>
      <c r="B562" s="6"/>
      <c r="C562" s="6"/>
      <c r="D562" s="6"/>
      <c r="E562" s="6"/>
      <c r="F562" s="6"/>
      <c r="G562" s="6"/>
      <c r="H562" s="6"/>
      <c r="I562" s="6"/>
      <c r="J562" s="6"/>
      <c r="K562" s="6"/>
      <c r="L562" s="6"/>
      <c r="M562" s="6"/>
      <c r="N562" s="6"/>
      <c r="O562" s="6"/>
      <c r="P562" s="6"/>
      <c r="Q562" s="6"/>
      <c r="R562" s="6"/>
      <c r="S562" s="6"/>
      <c r="T562" s="8"/>
    </row>
    <row r="563" spans="1:20" x14ac:dyDescent="0.3">
      <c r="A563" s="1"/>
      <c r="B563" s="2"/>
      <c r="C563" s="2"/>
      <c r="D563" s="2"/>
      <c r="E563" s="2"/>
      <c r="F563" s="2"/>
      <c r="G563" s="2"/>
      <c r="H563" s="2"/>
      <c r="I563" s="2"/>
      <c r="J563" s="2"/>
      <c r="K563" s="2"/>
      <c r="L563" s="2"/>
      <c r="M563" s="2"/>
      <c r="N563" s="2"/>
      <c r="O563" s="2"/>
      <c r="P563" s="2"/>
      <c r="Q563" s="2"/>
      <c r="R563" s="2"/>
      <c r="S563" s="2"/>
      <c r="T563" s="4"/>
    </row>
    <row r="564" spans="1:20" x14ac:dyDescent="0.3">
      <c r="A564" s="5"/>
      <c r="B564" s="6"/>
      <c r="C564" s="6"/>
      <c r="D564" s="6"/>
      <c r="E564" s="6"/>
      <c r="F564" s="6"/>
      <c r="G564" s="6"/>
      <c r="H564" s="6"/>
      <c r="I564" s="6"/>
      <c r="J564" s="6"/>
      <c r="K564" s="6"/>
      <c r="L564" s="6"/>
      <c r="M564" s="6"/>
      <c r="N564" s="6"/>
      <c r="O564" s="6"/>
      <c r="P564" s="6"/>
      <c r="Q564" s="6"/>
      <c r="R564" s="6"/>
      <c r="S564" s="6"/>
      <c r="T564" s="8"/>
    </row>
    <row r="565" spans="1:20" x14ac:dyDescent="0.3">
      <c r="A565" s="1"/>
      <c r="B565" s="2"/>
      <c r="C565" s="2"/>
      <c r="D565" s="2"/>
      <c r="E565" s="2"/>
      <c r="F565" s="2"/>
      <c r="G565" s="2"/>
      <c r="H565" s="2"/>
      <c r="I565" s="2"/>
      <c r="J565" s="2"/>
      <c r="K565" s="2"/>
      <c r="L565" s="2"/>
      <c r="M565" s="2"/>
      <c r="N565" s="2"/>
      <c r="O565" s="2"/>
      <c r="P565" s="2"/>
      <c r="Q565" s="2"/>
      <c r="R565" s="2"/>
      <c r="S565" s="2"/>
      <c r="T565" s="4"/>
    </row>
    <row r="566" spans="1:20" x14ac:dyDescent="0.3">
      <c r="A566" s="5"/>
      <c r="B566" s="6"/>
      <c r="C566" s="6"/>
      <c r="D566" s="6"/>
      <c r="E566" s="6"/>
      <c r="F566" s="6"/>
      <c r="G566" s="6"/>
      <c r="H566" s="6"/>
      <c r="I566" s="6"/>
      <c r="J566" s="6"/>
      <c r="K566" s="6"/>
      <c r="L566" s="6"/>
      <c r="M566" s="6"/>
      <c r="N566" s="6"/>
      <c r="O566" s="6"/>
      <c r="P566" s="6"/>
      <c r="Q566" s="6"/>
      <c r="R566" s="6"/>
      <c r="S566" s="6"/>
      <c r="T566" s="8"/>
    </row>
    <row r="567" spans="1:20" x14ac:dyDescent="0.3">
      <c r="A567" s="1"/>
      <c r="B567" s="2"/>
      <c r="C567" s="2"/>
      <c r="D567" s="2"/>
      <c r="E567" s="2"/>
      <c r="F567" s="2"/>
      <c r="G567" s="2"/>
      <c r="H567" s="2"/>
      <c r="I567" s="2"/>
      <c r="J567" s="2"/>
      <c r="K567" s="2"/>
      <c r="L567" s="2"/>
      <c r="M567" s="2"/>
      <c r="N567" s="2"/>
      <c r="O567" s="2"/>
      <c r="P567" s="2"/>
      <c r="Q567" s="2"/>
      <c r="R567" s="2"/>
      <c r="S567" s="2"/>
      <c r="T567" s="4"/>
    </row>
    <row r="568" spans="1:20" x14ac:dyDescent="0.3">
      <c r="A568" s="5"/>
      <c r="B568" s="6"/>
      <c r="C568" s="6"/>
      <c r="D568" s="6"/>
      <c r="E568" s="6"/>
      <c r="F568" s="6"/>
      <c r="G568" s="6"/>
      <c r="H568" s="6"/>
      <c r="I568" s="6"/>
      <c r="J568" s="6"/>
      <c r="K568" s="6"/>
      <c r="L568" s="6"/>
      <c r="M568" s="6"/>
      <c r="N568" s="6"/>
      <c r="O568" s="6"/>
      <c r="P568" s="6"/>
      <c r="Q568" s="6"/>
      <c r="R568" s="6"/>
      <c r="S568" s="6"/>
      <c r="T568" s="8"/>
    </row>
    <row r="569" spans="1:20" x14ac:dyDescent="0.3">
      <c r="A569" s="1"/>
      <c r="B569" s="2"/>
      <c r="C569" s="2"/>
      <c r="D569" s="2"/>
      <c r="E569" s="2"/>
      <c r="F569" s="2"/>
      <c r="G569" s="2"/>
      <c r="H569" s="2"/>
      <c r="I569" s="2"/>
      <c r="J569" s="2"/>
      <c r="K569" s="2"/>
      <c r="L569" s="2"/>
      <c r="M569" s="2"/>
      <c r="N569" s="2"/>
      <c r="O569" s="2"/>
      <c r="P569" s="2"/>
      <c r="Q569" s="2"/>
      <c r="R569" s="2"/>
      <c r="S569" s="2"/>
      <c r="T569" s="4"/>
    </row>
    <row r="570" spans="1:20" x14ac:dyDescent="0.3">
      <c r="A570" s="5"/>
      <c r="B570" s="6"/>
      <c r="C570" s="6"/>
      <c r="D570" s="6"/>
      <c r="E570" s="6"/>
      <c r="F570" s="6"/>
      <c r="G570" s="6"/>
      <c r="H570" s="6"/>
      <c r="I570" s="6"/>
      <c r="J570" s="6"/>
      <c r="K570" s="6"/>
      <c r="L570" s="6"/>
      <c r="M570" s="6"/>
      <c r="N570" s="6"/>
      <c r="O570" s="7"/>
      <c r="P570" s="6"/>
      <c r="Q570" s="6"/>
      <c r="R570" s="6"/>
      <c r="S570" s="6"/>
      <c r="T570" s="8"/>
    </row>
    <row r="571" spans="1:20" x14ac:dyDescent="0.3">
      <c r="A571" s="1"/>
      <c r="B571" s="2"/>
      <c r="C571" s="2"/>
      <c r="D571" s="2"/>
      <c r="E571" s="2"/>
      <c r="F571" s="2"/>
      <c r="G571" s="2"/>
      <c r="H571" s="2"/>
      <c r="I571" s="2"/>
      <c r="J571" s="2"/>
      <c r="K571" s="2"/>
      <c r="L571" s="2"/>
      <c r="M571" s="2"/>
      <c r="N571" s="2"/>
      <c r="O571" s="3"/>
      <c r="P571" s="2"/>
      <c r="Q571" s="2"/>
      <c r="R571" s="2"/>
      <c r="S571" s="2"/>
      <c r="T571" s="4"/>
    </row>
    <row r="572" spans="1:20" x14ac:dyDescent="0.3">
      <c r="A572" s="5"/>
      <c r="B572" s="6"/>
      <c r="C572" s="6"/>
      <c r="D572" s="6"/>
      <c r="E572" s="6"/>
      <c r="F572" s="6"/>
      <c r="G572" s="6"/>
      <c r="H572" s="6"/>
      <c r="I572" s="6"/>
      <c r="J572" s="6"/>
      <c r="K572" s="6"/>
      <c r="L572" s="6"/>
      <c r="M572" s="6"/>
      <c r="N572" s="6"/>
      <c r="O572" s="6"/>
      <c r="P572" s="6"/>
      <c r="Q572" s="6"/>
      <c r="R572" s="6"/>
      <c r="S572" s="6"/>
      <c r="T572" s="8"/>
    </row>
    <row r="573" spans="1:20" x14ac:dyDescent="0.3">
      <c r="A573" s="1"/>
      <c r="B573" s="2"/>
      <c r="C573" s="2"/>
      <c r="D573" s="2"/>
      <c r="E573" s="2"/>
      <c r="F573" s="2"/>
      <c r="G573" s="2"/>
      <c r="H573" s="2"/>
      <c r="I573" s="2"/>
      <c r="J573" s="2"/>
      <c r="K573" s="2"/>
      <c r="L573" s="2"/>
      <c r="M573" s="2"/>
      <c r="N573" s="2"/>
      <c r="O573" s="2"/>
      <c r="P573" s="2"/>
      <c r="Q573" s="2"/>
      <c r="R573" s="2"/>
      <c r="S573" s="2"/>
      <c r="T573" s="4"/>
    </row>
    <row r="574" spans="1:20" x14ac:dyDescent="0.3">
      <c r="A574" s="5"/>
      <c r="B574" s="6"/>
      <c r="C574" s="6"/>
      <c r="D574" s="6"/>
      <c r="E574" s="6"/>
      <c r="F574" s="6"/>
      <c r="G574" s="6"/>
      <c r="H574" s="6"/>
      <c r="I574" s="6"/>
      <c r="J574" s="6"/>
      <c r="K574" s="6"/>
      <c r="L574" s="6"/>
      <c r="M574" s="6"/>
      <c r="N574" s="6"/>
      <c r="O574" s="6"/>
      <c r="P574" s="6"/>
      <c r="Q574" s="6"/>
      <c r="R574" s="6"/>
      <c r="S574" s="6"/>
      <c r="T574" s="8"/>
    </row>
    <row r="575" spans="1:20" x14ac:dyDescent="0.3">
      <c r="A575" s="1"/>
      <c r="B575" s="2"/>
      <c r="C575" s="2"/>
      <c r="D575" s="2"/>
      <c r="E575" s="2"/>
      <c r="F575" s="2"/>
      <c r="G575" s="2"/>
      <c r="H575" s="2"/>
      <c r="I575" s="2"/>
      <c r="J575" s="2"/>
      <c r="K575" s="2"/>
      <c r="L575" s="2"/>
      <c r="M575" s="2"/>
      <c r="N575" s="2"/>
      <c r="O575" s="2"/>
      <c r="P575" s="2"/>
      <c r="Q575" s="2"/>
      <c r="R575" s="2"/>
      <c r="S575" s="2"/>
      <c r="T575" s="4"/>
    </row>
    <row r="576" spans="1:20" x14ac:dyDescent="0.3">
      <c r="A576" s="5"/>
      <c r="B576" s="6"/>
      <c r="C576" s="6"/>
      <c r="D576" s="6"/>
      <c r="E576" s="6"/>
      <c r="F576" s="6"/>
      <c r="G576" s="6"/>
      <c r="H576" s="6"/>
      <c r="I576" s="6"/>
      <c r="J576" s="6"/>
      <c r="K576" s="6"/>
      <c r="L576" s="6"/>
      <c r="M576" s="6"/>
      <c r="N576" s="6"/>
      <c r="O576" s="6"/>
      <c r="P576" s="6"/>
      <c r="Q576" s="6"/>
      <c r="R576" s="6"/>
      <c r="S576" s="6"/>
      <c r="T576" s="8"/>
    </row>
    <row r="577" spans="1:20" x14ac:dyDescent="0.3">
      <c r="A577" s="1"/>
      <c r="B577" s="2"/>
      <c r="C577" s="2"/>
      <c r="D577" s="2"/>
      <c r="E577" s="2"/>
      <c r="F577" s="2"/>
      <c r="G577" s="2"/>
      <c r="H577" s="2"/>
      <c r="I577" s="2"/>
      <c r="J577" s="2"/>
      <c r="K577" s="2"/>
      <c r="L577" s="2"/>
      <c r="M577" s="2"/>
      <c r="N577" s="2"/>
      <c r="O577" s="2"/>
      <c r="P577" s="2"/>
      <c r="Q577" s="2"/>
      <c r="R577" s="2"/>
      <c r="S577" s="2"/>
      <c r="T577" s="4"/>
    </row>
    <row r="578" spans="1:20" x14ac:dyDescent="0.3">
      <c r="A578" s="5"/>
      <c r="B578" s="6"/>
      <c r="C578" s="6"/>
      <c r="D578" s="6"/>
      <c r="E578" s="6"/>
      <c r="F578" s="6"/>
      <c r="G578" s="6"/>
      <c r="H578" s="6"/>
      <c r="I578" s="6"/>
      <c r="J578" s="6"/>
      <c r="K578" s="6"/>
      <c r="L578" s="6"/>
      <c r="M578" s="6"/>
      <c r="N578" s="6"/>
      <c r="O578" s="7"/>
      <c r="P578" s="6"/>
      <c r="Q578" s="6"/>
      <c r="R578" s="6"/>
      <c r="S578" s="6"/>
      <c r="T578" s="8"/>
    </row>
    <row r="579" spans="1:20" x14ac:dyDescent="0.3">
      <c r="A579" s="1"/>
      <c r="B579" s="2"/>
      <c r="C579" s="2"/>
      <c r="D579" s="2"/>
      <c r="E579" s="2"/>
      <c r="F579" s="2"/>
      <c r="G579" s="2"/>
      <c r="H579" s="2"/>
      <c r="I579" s="2"/>
      <c r="J579" s="2"/>
      <c r="K579" s="2"/>
      <c r="L579" s="2"/>
      <c r="M579" s="2"/>
      <c r="N579" s="2"/>
      <c r="O579" s="2"/>
      <c r="P579" s="2"/>
      <c r="Q579" s="2"/>
      <c r="R579" s="2"/>
      <c r="S579" s="2"/>
      <c r="T579" s="4"/>
    </row>
    <row r="580" spans="1:20" x14ac:dyDescent="0.3">
      <c r="A580" s="5"/>
      <c r="B580" s="6"/>
      <c r="C580" s="6"/>
      <c r="D580" s="6"/>
      <c r="E580" s="6"/>
      <c r="F580" s="6"/>
      <c r="G580" s="6"/>
      <c r="H580" s="6"/>
      <c r="I580" s="6"/>
      <c r="J580" s="6"/>
      <c r="K580" s="6"/>
      <c r="L580" s="6"/>
      <c r="M580" s="6"/>
      <c r="N580" s="6"/>
      <c r="O580" s="6"/>
      <c r="P580" s="6"/>
      <c r="Q580" s="6"/>
      <c r="R580" s="6"/>
      <c r="S580" s="6"/>
      <c r="T580" s="8"/>
    </row>
    <row r="581" spans="1:20" x14ac:dyDescent="0.3">
      <c r="A581" s="1"/>
      <c r="B581" s="2"/>
      <c r="C581" s="2"/>
      <c r="D581" s="2"/>
      <c r="E581" s="2"/>
      <c r="F581" s="2"/>
      <c r="G581" s="2"/>
      <c r="H581" s="2"/>
      <c r="I581" s="2"/>
      <c r="J581" s="2"/>
      <c r="K581" s="2"/>
      <c r="L581" s="2"/>
      <c r="M581" s="2"/>
      <c r="N581" s="2"/>
      <c r="O581" s="3"/>
      <c r="P581" s="2"/>
      <c r="Q581" s="2"/>
      <c r="R581" s="2"/>
      <c r="S581" s="2"/>
      <c r="T581" s="4"/>
    </row>
    <row r="582" spans="1:20" x14ac:dyDescent="0.3">
      <c r="A582" s="5"/>
      <c r="B582" s="6"/>
      <c r="C582" s="6"/>
      <c r="D582" s="6"/>
      <c r="E582" s="6"/>
      <c r="F582" s="6"/>
      <c r="G582" s="6"/>
      <c r="H582" s="6"/>
      <c r="I582" s="6"/>
      <c r="J582" s="6"/>
      <c r="K582" s="6"/>
      <c r="L582" s="6"/>
      <c r="M582" s="6"/>
      <c r="N582" s="6"/>
      <c r="O582" s="6"/>
      <c r="P582" s="6"/>
      <c r="Q582" s="6"/>
      <c r="R582" s="6"/>
      <c r="S582" s="6"/>
      <c r="T582" s="8"/>
    </row>
    <row r="583" spans="1:20" x14ac:dyDescent="0.3">
      <c r="A583" s="1"/>
      <c r="B583" s="2"/>
      <c r="C583" s="2"/>
      <c r="D583" s="2"/>
      <c r="E583" s="2"/>
      <c r="F583" s="2"/>
      <c r="G583" s="2"/>
      <c r="H583" s="2"/>
      <c r="I583" s="2"/>
      <c r="J583" s="2"/>
      <c r="K583" s="2"/>
      <c r="L583" s="2"/>
      <c r="M583" s="2"/>
      <c r="N583" s="2"/>
      <c r="O583" s="3"/>
      <c r="P583" s="2"/>
      <c r="Q583" s="2"/>
      <c r="R583" s="2"/>
      <c r="S583" s="2"/>
      <c r="T583" s="4"/>
    </row>
    <row r="584" spans="1:20" x14ac:dyDescent="0.3">
      <c r="A584" s="5"/>
      <c r="B584" s="6"/>
      <c r="C584" s="6"/>
      <c r="D584" s="6"/>
      <c r="E584" s="6"/>
      <c r="F584" s="6"/>
      <c r="G584" s="6"/>
      <c r="H584" s="6"/>
      <c r="I584" s="6"/>
      <c r="J584" s="6"/>
      <c r="K584" s="6"/>
      <c r="L584" s="6"/>
      <c r="M584" s="6"/>
      <c r="N584" s="6"/>
      <c r="O584" s="6"/>
      <c r="P584" s="6"/>
      <c r="Q584" s="6"/>
      <c r="R584" s="6"/>
      <c r="S584" s="6"/>
      <c r="T584" s="8"/>
    </row>
    <row r="585" spans="1:20" x14ac:dyDescent="0.3">
      <c r="A585" s="1"/>
      <c r="B585" s="2"/>
      <c r="C585" s="2"/>
      <c r="D585" s="2"/>
      <c r="E585" s="2"/>
      <c r="F585" s="2"/>
      <c r="G585" s="2"/>
      <c r="H585" s="2"/>
      <c r="I585" s="2"/>
      <c r="J585" s="2"/>
      <c r="K585" s="2"/>
      <c r="L585" s="2"/>
      <c r="M585" s="2"/>
      <c r="N585" s="2"/>
      <c r="O585" s="2"/>
      <c r="P585" s="2"/>
      <c r="Q585" s="2"/>
      <c r="R585" s="2"/>
      <c r="S585" s="2"/>
      <c r="T585" s="4"/>
    </row>
    <row r="586" spans="1:20" x14ac:dyDescent="0.3">
      <c r="A586" s="5"/>
      <c r="B586" s="6"/>
      <c r="C586" s="6"/>
      <c r="D586" s="6"/>
      <c r="E586" s="6"/>
      <c r="F586" s="6"/>
      <c r="G586" s="6"/>
      <c r="H586" s="6"/>
      <c r="I586" s="6"/>
      <c r="J586" s="6"/>
      <c r="K586" s="6"/>
      <c r="L586" s="6"/>
      <c r="M586" s="6"/>
      <c r="N586" s="6"/>
      <c r="O586" s="6"/>
      <c r="P586" s="6"/>
      <c r="Q586" s="6"/>
      <c r="R586" s="6"/>
      <c r="S586" s="6"/>
      <c r="T586" s="8"/>
    </row>
    <row r="587" spans="1:20" x14ac:dyDescent="0.3">
      <c r="A587" s="1"/>
      <c r="B587" s="2"/>
      <c r="C587" s="2"/>
      <c r="D587" s="2"/>
      <c r="E587" s="2"/>
      <c r="F587" s="2"/>
      <c r="G587" s="2"/>
      <c r="H587" s="2"/>
      <c r="I587" s="2"/>
      <c r="J587" s="2"/>
      <c r="K587" s="2"/>
      <c r="L587" s="2"/>
      <c r="M587" s="2"/>
      <c r="N587" s="2"/>
      <c r="O587" s="2"/>
      <c r="P587" s="2"/>
      <c r="Q587" s="2"/>
      <c r="R587" s="2"/>
      <c r="S587" s="2"/>
      <c r="T587" s="4"/>
    </row>
    <row r="588" spans="1:20" x14ac:dyDescent="0.3">
      <c r="A588" s="5"/>
      <c r="B588" s="6"/>
      <c r="C588" s="6"/>
      <c r="D588" s="6"/>
      <c r="E588" s="6"/>
      <c r="F588" s="6"/>
      <c r="G588" s="6"/>
      <c r="H588" s="6"/>
      <c r="I588" s="6"/>
      <c r="J588" s="6"/>
      <c r="K588" s="6"/>
      <c r="L588" s="6"/>
      <c r="M588" s="6"/>
      <c r="N588" s="6"/>
      <c r="O588" s="6"/>
      <c r="P588" s="6"/>
      <c r="Q588" s="6"/>
      <c r="R588" s="6"/>
      <c r="S588" s="6"/>
      <c r="T588" s="8"/>
    </row>
    <row r="589" spans="1:20" x14ac:dyDescent="0.3">
      <c r="A589" s="1"/>
      <c r="B589" s="2"/>
      <c r="C589" s="2"/>
      <c r="D589" s="2"/>
      <c r="E589" s="2"/>
      <c r="F589" s="2"/>
      <c r="G589" s="2"/>
      <c r="H589" s="2"/>
      <c r="I589" s="2"/>
      <c r="J589" s="2"/>
      <c r="K589" s="2"/>
      <c r="L589" s="2"/>
      <c r="M589" s="2"/>
      <c r="N589" s="2"/>
      <c r="O589" s="3"/>
      <c r="P589" s="2"/>
      <c r="Q589" s="2"/>
      <c r="R589" s="2"/>
      <c r="S589" s="2"/>
      <c r="T589" s="4"/>
    </row>
    <row r="590" spans="1:20" x14ac:dyDescent="0.3">
      <c r="A590" s="5"/>
      <c r="B590" s="6"/>
      <c r="C590" s="6"/>
      <c r="D590" s="6"/>
      <c r="E590" s="6"/>
      <c r="F590" s="6"/>
      <c r="G590" s="6"/>
      <c r="H590" s="6"/>
      <c r="I590" s="6"/>
      <c r="J590" s="6"/>
      <c r="K590" s="6"/>
      <c r="L590" s="6"/>
      <c r="M590" s="6"/>
      <c r="N590" s="6"/>
      <c r="O590" s="6"/>
      <c r="P590" s="6"/>
      <c r="Q590" s="6"/>
      <c r="R590" s="6"/>
      <c r="S590" s="6"/>
      <c r="T590" s="8"/>
    </row>
    <row r="591" spans="1:20" x14ac:dyDescent="0.3">
      <c r="A591" s="1"/>
      <c r="B591" s="2"/>
      <c r="C591" s="2"/>
      <c r="D591" s="2"/>
      <c r="E591" s="2"/>
      <c r="F591" s="2"/>
      <c r="G591" s="2"/>
      <c r="H591" s="2"/>
      <c r="I591" s="2"/>
      <c r="J591" s="2"/>
      <c r="K591" s="2"/>
      <c r="L591" s="2"/>
      <c r="M591" s="2"/>
      <c r="N591" s="2"/>
      <c r="O591" s="2"/>
      <c r="P591" s="2"/>
      <c r="Q591" s="2"/>
      <c r="R591" s="2"/>
      <c r="S591" s="2"/>
      <c r="T591" s="4"/>
    </row>
    <row r="592" spans="1:20" x14ac:dyDescent="0.3">
      <c r="A592" s="5"/>
      <c r="B592" s="6"/>
      <c r="C592" s="6"/>
      <c r="D592" s="6"/>
      <c r="E592" s="6"/>
      <c r="F592" s="6"/>
      <c r="G592" s="6"/>
      <c r="H592" s="6"/>
      <c r="I592" s="6"/>
      <c r="J592" s="6"/>
      <c r="K592" s="6"/>
      <c r="L592" s="6"/>
      <c r="M592" s="6"/>
      <c r="N592" s="6"/>
      <c r="O592" s="7"/>
      <c r="P592" s="6"/>
      <c r="Q592" s="6"/>
      <c r="R592" s="6"/>
      <c r="S592" s="6"/>
      <c r="T592" s="8"/>
    </row>
    <row r="593" spans="1:20" x14ac:dyDescent="0.3">
      <c r="A593" s="1"/>
      <c r="B593" s="2"/>
      <c r="C593" s="2"/>
      <c r="D593" s="2"/>
      <c r="E593" s="2"/>
      <c r="F593" s="2"/>
      <c r="G593" s="2"/>
      <c r="H593" s="2"/>
      <c r="I593" s="2"/>
      <c r="J593" s="2"/>
      <c r="K593" s="2"/>
      <c r="L593" s="2"/>
      <c r="M593" s="2"/>
      <c r="N593" s="2"/>
      <c r="O593" s="2"/>
      <c r="P593" s="2"/>
      <c r="Q593" s="2"/>
      <c r="R593" s="2"/>
      <c r="S593" s="2"/>
      <c r="T593" s="4"/>
    </row>
    <row r="594" spans="1:20" x14ac:dyDescent="0.3">
      <c r="A594" s="5"/>
      <c r="B594" s="6"/>
      <c r="C594" s="6"/>
      <c r="D594" s="6"/>
      <c r="E594" s="6"/>
      <c r="F594" s="6"/>
      <c r="G594" s="6"/>
      <c r="H594" s="6"/>
      <c r="I594" s="6"/>
      <c r="J594" s="6"/>
      <c r="K594" s="6"/>
      <c r="L594" s="6"/>
      <c r="M594" s="6"/>
      <c r="N594" s="6"/>
      <c r="O594" s="7"/>
      <c r="P594" s="6"/>
      <c r="Q594" s="6"/>
      <c r="R594" s="6"/>
      <c r="S594" s="6"/>
      <c r="T594" s="8"/>
    </row>
    <row r="595" spans="1:20" x14ac:dyDescent="0.3">
      <c r="A595" s="1"/>
      <c r="B595" s="2"/>
      <c r="C595" s="2"/>
      <c r="D595" s="2"/>
      <c r="E595" s="2"/>
      <c r="F595" s="2"/>
      <c r="G595" s="2"/>
      <c r="H595" s="2"/>
      <c r="I595" s="2"/>
      <c r="J595" s="2"/>
      <c r="K595" s="2"/>
      <c r="L595" s="2"/>
      <c r="M595" s="2"/>
      <c r="N595" s="2"/>
      <c r="O595" s="2"/>
      <c r="P595" s="2"/>
      <c r="Q595" s="2"/>
      <c r="R595" s="2"/>
      <c r="S595" s="2"/>
      <c r="T595" s="4"/>
    </row>
    <row r="596" spans="1:20" x14ac:dyDescent="0.3">
      <c r="A596" s="5"/>
      <c r="B596" s="6"/>
      <c r="C596" s="6"/>
      <c r="D596" s="6"/>
      <c r="E596" s="6"/>
      <c r="F596" s="6"/>
      <c r="G596" s="6"/>
      <c r="H596" s="6"/>
      <c r="I596" s="6"/>
      <c r="J596" s="6"/>
      <c r="K596" s="6"/>
      <c r="L596" s="6"/>
      <c r="M596" s="6"/>
      <c r="N596" s="6"/>
      <c r="O596" s="7"/>
      <c r="P596" s="6"/>
      <c r="Q596" s="6"/>
      <c r="R596" s="6"/>
      <c r="S596" s="6"/>
      <c r="T596" s="8"/>
    </row>
    <row r="597" spans="1:20" x14ac:dyDescent="0.3">
      <c r="A597" s="1"/>
      <c r="B597" s="2"/>
      <c r="C597" s="2"/>
      <c r="D597" s="2"/>
      <c r="E597" s="2"/>
      <c r="F597" s="2"/>
      <c r="G597" s="2"/>
      <c r="H597" s="2"/>
      <c r="I597" s="2"/>
      <c r="J597" s="2"/>
      <c r="K597" s="2"/>
      <c r="L597" s="2"/>
      <c r="M597" s="2"/>
      <c r="N597" s="2"/>
      <c r="O597" s="2"/>
      <c r="P597" s="2"/>
      <c r="Q597" s="2"/>
      <c r="R597" s="2"/>
      <c r="S597" s="2"/>
      <c r="T597" s="4"/>
    </row>
    <row r="598" spans="1:20" x14ac:dyDescent="0.3">
      <c r="A598" s="5"/>
      <c r="B598" s="6"/>
      <c r="C598" s="6"/>
      <c r="D598" s="6"/>
      <c r="E598" s="6"/>
      <c r="F598" s="6"/>
      <c r="G598" s="6"/>
      <c r="H598" s="6"/>
      <c r="I598" s="6"/>
      <c r="J598" s="6"/>
      <c r="K598" s="6"/>
      <c r="L598" s="6"/>
      <c r="M598" s="6"/>
      <c r="N598" s="6"/>
      <c r="O598" s="7"/>
      <c r="P598" s="6"/>
      <c r="Q598" s="6"/>
      <c r="R598" s="6"/>
      <c r="S598" s="6"/>
      <c r="T598" s="8"/>
    </row>
    <row r="599" spans="1:20" x14ac:dyDescent="0.3">
      <c r="A599" s="1"/>
      <c r="B599" s="2"/>
      <c r="C599" s="2"/>
      <c r="D599" s="2"/>
      <c r="E599" s="2"/>
      <c r="F599" s="2"/>
      <c r="G599" s="2"/>
      <c r="H599" s="2"/>
      <c r="I599" s="2"/>
      <c r="J599" s="2"/>
      <c r="K599" s="2"/>
      <c r="L599" s="2"/>
      <c r="M599" s="2"/>
      <c r="N599" s="2"/>
      <c r="O599" s="3"/>
      <c r="P599" s="2"/>
      <c r="Q599" s="2"/>
      <c r="R599" s="2"/>
      <c r="S599" s="2"/>
      <c r="T599" s="4"/>
    </row>
    <row r="600" spans="1:20" x14ac:dyDescent="0.3">
      <c r="A600" s="5"/>
      <c r="B600" s="6"/>
      <c r="C600" s="6"/>
      <c r="D600" s="6"/>
      <c r="E600" s="6"/>
      <c r="F600" s="6"/>
      <c r="G600" s="6"/>
      <c r="H600" s="6"/>
      <c r="I600" s="6"/>
      <c r="J600" s="6"/>
      <c r="K600" s="6"/>
      <c r="L600" s="6"/>
      <c r="M600" s="6"/>
      <c r="N600" s="7"/>
      <c r="O600" s="6"/>
      <c r="P600" s="6"/>
      <c r="Q600" s="6"/>
      <c r="R600" s="6"/>
      <c r="S600" s="6"/>
      <c r="T600" s="8"/>
    </row>
    <row r="601" spans="1:20" x14ac:dyDescent="0.3">
      <c r="A601" s="1"/>
      <c r="B601" s="2"/>
      <c r="C601" s="2"/>
      <c r="D601" s="2"/>
      <c r="E601" s="2"/>
      <c r="F601" s="2"/>
      <c r="G601" s="2"/>
      <c r="H601" s="2"/>
      <c r="I601" s="2"/>
      <c r="J601" s="2"/>
      <c r="K601" s="2"/>
      <c r="L601" s="2"/>
      <c r="M601" s="2"/>
      <c r="N601" s="2"/>
      <c r="O601" s="2"/>
      <c r="P601" s="2"/>
      <c r="Q601" s="2"/>
      <c r="R601" s="2"/>
      <c r="S601" s="2"/>
      <c r="T601" s="4"/>
    </row>
    <row r="602" spans="1:20" x14ac:dyDescent="0.3">
      <c r="A602" s="5"/>
      <c r="B602" s="6"/>
      <c r="C602" s="6"/>
      <c r="D602" s="6"/>
      <c r="E602" s="6"/>
      <c r="F602" s="6"/>
      <c r="G602" s="6"/>
      <c r="H602" s="6"/>
      <c r="I602" s="6"/>
      <c r="J602" s="6"/>
      <c r="K602" s="6"/>
      <c r="L602" s="6"/>
      <c r="M602" s="6"/>
      <c r="N602" s="6"/>
      <c r="O602" s="6"/>
      <c r="P602" s="6"/>
      <c r="Q602" s="6"/>
      <c r="R602" s="6"/>
      <c r="S602" s="6"/>
      <c r="T602" s="8"/>
    </row>
    <row r="603" spans="1:20" x14ac:dyDescent="0.3">
      <c r="A603" s="1"/>
      <c r="B603" s="2"/>
      <c r="C603" s="2"/>
      <c r="D603" s="2"/>
      <c r="E603" s="2"/>
      <c r="F603" s="2"/>
      <c r="G603" s="2"/>
      <c r="H603" s="2"/>
      <c r="I603" s="2"/>
      <c r="J603" s="2"/>
      <c r="K603" s="2"/>
      <c r="L603" s="2"/>
      <c r="M603" s="2"/>
      <c r="N603" s="2"/>
      <c r="O603" s="2"/>
      <c r="P603" s="2"/>
      <c r="Q603" s="2"/>
      <c r="R603" s="2"/>
      <c r="S603" s="2"/>
      <c r="T603" s="4"/>
    </row>
    <row r="604" spans="1:20" x14ac:dyDescent="0.3">
      <c r="A604" s="5"/>
      <c r="B604" s="6"/>
      <c r="C604" s="6"/>
      <c r="D604" s="6"/>
      <c r="E604" s="6"/>
      <c r="F604" s="6"/>
      <c r="G604" s="6"/>
      <c r="H604" s="6"/>
      <c r="I604" s="6"/>
      <c r="J604" s="6"/>
      <c r="K604" s="6"/>
      <c r="L604" s="6"/>
      <c r="M604" s="6"/>
      <c r="N604" s="6"/>
      <c r="O604" s="6"/>
      <c r="P604" s="6"/>
      <c r="Q604" s="6"/>
      <c r="R604" s="6"/>
      <c r="S604" s="6"/>
      <c r="T604" s="8"/>
    </row>
    <row r="605" spans="1:20" x14ac:dyDescent="0.3">
      <c r="A605" s="1"/>
      <c r="B605" s="2"/>
      <c r="C605" s="2"/>
      <c r="D605" s="2"/>
      <c r="E605" s="2"/>
      <c r="F605" s="2"/>
      <c r="G605" s="2"/>
      <c r="H605" s="2"/>
      <c r="I605" s="2"/>
      <c r="J605" s="2"/>
      <c r="K605" s="2"/>
      <c r="L605" s="2"/>
      <c r="M605" s="2"/>
      <c r="N605" s="2"/>
      <c r="O605" s="2"/>
      <c r="P605" s="2"/>
      <c r="Q605" s="2"/>
      <c r="R605" s="2"/>
      <c r="S605" s="2"/>
      <c r="T605" s="4"/>
    </row>
    <row r="606" spans="1:20" x14ac:dyDescent="0.3">
      <c r="A606" s="5"/>
      <c r="B606" s="6"/>
      <c r="C606" s="6"/>
      <c r="D606" s="6"/>
      <c r="E606" s="6"/>
      <c r="F606" s="6"/>
      <c r="G606" s="6"/>
      <c r="H606" s="6"/>
      <c r="I606" s="6"/>
      <c r="J606" s="6"/>
      <c r="K606" s="6"/>
      <c r="L606" s="6"/>
      <c r="M606" s="6"/>
      <c r="N606" s="6"/>
      <c r="O606" s="7"/>
      <c r="P606" s="6"/>
      <c r="Q606" s="6"/>
      <c r="R606" s="6"/>
      <c r="S606" s="6"/>
      <c r="T606" s="8"/>
    </row>
    <row r="607" spans="1:20" x14ac:dyDescent="0.3">
      <c r="A607" s="1"/>
      <c r="B607" s="2"/>
      <c r="C607" s="2"/>
      <c r="D607" s="2"/>
      <c r="E607" s="2"/>
      <c r="F607" s="2"/>
      <c r="G607" s="2"/>
      <c r="H607" s="2"/>
      <c r="I607" s="2"/>
      <c r="J607" s="2"/>
      <c r="K607" s="2"/>
      <c r="L607" s="2"/>
      <c r="M607" s="2"/>
      <c r="N607" s="2"/>
      <c r="O607" s="2"/>
      <c r="P607" s="2"/>
      <c r="Q607" s="2"/>
      <c r="R607" s="2"/>
      <c r="S607" s="2"/>
      <c r="T607" s="4"/>
    </row>
    <row r="608" spans="1:20" x14ac:dyDescent="0.3">
      <c r="A608" s="5"/>
      <c r="B608" s="6"/>
      <c r="C608" s="6"/>
      <c r="D608" s="6"/>
      <c r="E608" s="6"/>
      <c r="F608" s="6"/>
      <c r="G608" s="6"/>
      <c r="H608" s="6"/>
      <c r="I608" s="6"/>
      <c r="J608" s="6"/>
      <c r="K608" s="6"/>
      <c r="L608" s="6"/>
      <c r="M608" s="6"/>
      <c r="N608" s="6"/>
      <c r="O608" s="6"/>
      <c r="P608" s="6"/>
      <c r="Q608" s="6"/>
      <c r="R608" s="6"/>
      <c r="S608" s="6"/>
      <c r="T608" s="8"/>
    </row>
    <row r="609" spans="1:20" x14ac:dyDescent="0.3">
      <c r="A609" s="1"/>
      <c r="B609" s="2"/>
      <c r="C609" s="2"/>
      <c r="D609" s="2"/>
      <c r="E609" s="2"/>
      <c r="F609" s="2"/>
      <c r="G609" s="2"/>
      <c r="H609" s="2"/>
      <c r="I609" s="2"/>
      <c r="J609" s="2"/>
      <c r="K609" s="2"/>
      <c r="L609" s="2"/>
      <c r="M609" s="2"/>
      <c r="N609" s="2"/>
      <c r="O609" s="2"/>
      <c r="P609" s="2"/>
      <c r="Q609" s="2"/>
      <c r="R609" s="2"/>
      <c r="S609" s="2"/>
      <c r="T609" s="4"/>
    </row>
    <row r="610" spans="1:20" x14ac:dyDescent="0.3">
      <c r="A610" s="5"/>
      <c r="B610" s="6"/>
      <c r="C610" s="6"/>
      <c r="D610" s="6"/>
      <c r="E610" s="6"/>
      <c r="F610" s="6"/>
      <c r="G610" s="6"/>
      <c r="H610" s="6"/>
      <c r="I610" s="6"/>
      <c r="J610" s="6"/>
      <c r="K610" s="6"/>
      <c r="L610" s="6"/>
      <c r="M610" s="6"/>
      <c r="N610" s="6"/>
      <c r="O610" s="7"/>
      <c r="P610" s="6"/>
      <c r="Q610" s="6"/>
      <c r="R610" s="6"/>
      <c r="S610" s="6"/>
      <c r="T610" s="8"/>
    </row>
    <row r="611" spans="1:20" x14ac:dyDescent="0.3">
      <c r="A611" s="1"/>
      <c r="B611" s="2"/>
      <c r="C611" s="2"/>
      <c r="D611" s="2"/>
      <c r="E611" s="2"/>
      <c r="F611" s="2"/>
      <c r="G611" s="2"/>
      <c r="H611" s="2"/>
      <c r="I611" s="2"/>
      <c r="J611" s="2"/>
      <c r="K611" s="2"/>
      <c r="L611" s="2"/>
      <c r="M611" s="2"/>
      <c r="N611" s="2"/>
      <c r="O611" s="2"/>
      <c r="P611" s="2"/>
      <c r="Q611" s="2"/>
      <c r="R611" s="2"/>
      <c r="S611" s="2"/>
      <c r="T611" s="4"/>
    </row>
    <row r="612" spans="1:20" x14ac:dyDescent="0.3">
      <c r="A612" s="5"/>
      <c r="B612" s="6"/>
      <c r="C612" s="6"/>
      <c r="D612" s="6"/>
      <c r="E612" s="6"/>
      <c r="F612" s="6"/>
      <c r="G612" s="6"/>
      <c r="H612" s="6"/>
      <c r="I612" s="6"/>
      <c r="J612" s="6"/>
      <c r="K612" s="6"/>
      <c r="L612" s="6"/>
      <c r="M612" s="6"/>
      <c r="N612" s="6"/>
      <c r="O612" s="6"/>
      <c r="P612" s="6"/>
      <c r="Q612" s="6"/>
      <c r="R612" s="6"/>
      <c r="S612" s="6"/>
      <c r="T612" s="8"/>
    </row>
    <row r="613" spans="1:20" x14ac:dyDescent="0.3">
      <c r="A613" s="1"/>
      <c r="B613" s="2"/>
      <c r="C613" s="2"/>
      <c r="D613" s="2"/>
      <c r="E613" s="2"/>
      <c r="F613" s="2"/>
      <c r="G613" s="2"/>
      <c r="H613" s="2"/>
      <c r="I613" s="2"/>
      <c r="J613" s="2"/>
      <c r="K613" s="2"/>
      <c r="L613" s="2"/>
      <c r="M613" s="2"/>
      <c r="N613" s="2"/>
      <c r="O613" s="2"/>
      <c r="P613" s="2"/>
      <c r="Q613" s="2"/>
      <c r="R613" s="2"/>
      <c r="S613" s="2"/>
      <c r="T613" s="4"/>
    </row>
    <row r="614" spans="1:20" x14ac:dyDescent="0.3">
      <c r="A614" s="5"/>
      <c r="B614" s="6"/>
      <c r="C614" s="6"/>
      <c r="D614" s="6"/>
      <c r="E614" s="6"/>
      <c r="F614" s="6"/>
      <c r="G614" s="6"/>
      <c r="H614" s="6"/>
      <c r="I614" s="6"/>
      <c r="J614" s="6"/>
      <c r="K614" s="6"/>
      <c r="L614" s="6"/>
      <c r="M614" s="6"/>
      <c r="N614" s="6"/>
      <c r="O614" s="6"/>
      <c r="P614" s="6"/>
      <c r="Q614" s="6"/>
      <c r="R614" s="6"/>
      <c r="S614" s="6"/>
      <c r="T614" s="8"/>
    </row>
    <row r="615" spans="1:20" x14ac:dyDescent="0.3">
      <c r="A615" s="1"/>
      <c r="B615" s="2"/>
      <c r="C615" s="2"/>
      <c r="D615" s="2"/>
      <c r="E615" s="2"/>
      <c r="F615" s="2"/>
      <c r="G615" s="2"/>
      <c r="H615" s="2"/>
      <c r="I615" s="2"/>
      <c r="J615" s="2"/>
      <c r="K615" s="2"/>
      <c r="L615" s="2"/>
      <c r="M615" s="2"/>
      <c r="N615" s="2"/>
      <c r="O615" s="2"/>
      <c r="P615" s="2"/>
      <c r="Q615" s="2"/>
      <c r="R615" s="2"/>
      <c r="S615" s="2"/>
      <c r="T615" s="4"/>
    </row>
    <row r="616" spans="1:20" x14ac:dyDescent="0.3">
      <c r="A616" s="5"/>
      <c r="B616" s="6"/>
      <c r="C616" s="6"/>
      <c r="D616" s="6"/>
      <c r="E616" s="6"/>
      <c r="F616" s="6"/>
      <c r="G616" s="6"/>
      <c r="H616" s="6"/>
      <c r="I616" s="6"/>
      <c r="J616" s="6"/>
      <c r="K616" s="6"/>
      <c r="L616" s="6"/>
      <c r="M616" s="6"/>
      <c r="N616" s="6"/>
      <c r="O616" s="6"/>
      <c r="P616" s="6"/>
      <c r="Q616" s="6"/>
      <c r="R616" s="6"/>
      <c r="S616" s="6"/>
      <c r="T616" s="8"/>
    </row>
    <row r="617" spans="1:20" x14ac:dyDescent="0.3">
      <c r="A617" s="1"/>
      <c r="B617" s="2"/>
      <c r="C617" s="2"/>
      <c r="D617" s="2"/>
      <c r="E617" s="2"/>
      <c r="F617" s="2"/>
      <c r="G617" s="2"/>
      <c r="H617" s="2"/>
      <c r="I617" s="2"/>
      <c r="J617" s="2"/>
      <c r="K617" s="2"/>
      <c r="L617" s="2"/>
      <c r="M617" s="2"/>
      <c r="N617" s="2"/>
      <c r="O617" s="2"/>
      <c r="P617" s="2"/>
      <c r="Q617" s="2"/>
      <c r="R617" s="2"/>
      <c r="S617" s="2"/>
      <c r="T617" s="4"/>
    </row>
    <row r="618" spans="1:20" x14ac:dyDescent="0.3">
      <c r="A618" s="5"/>
      <c r="B618" s="6"/>
      <c r="C618" s="6"/>
      <c r="D618" s="6"/>
      <c r="E618" s="6"/>
      <c r="F618" s="6"/>
      <c r="G618" s="6"/>
      <c r="H618" s="6"/>
      <c r="I618" s="6"/>
      <c r="J618" s="6"/>
      <c r="K618" s="6"/>
      <c r="L618" s="6"/>
      <c r="M618" s="6"/>
      <c r="N618" s="6"/>
      <c r="O618" s="6"/>
      <c r="P618" s="6"/>
      <c r="Q618" s="6"/>
      <c r="R618" s="6"/>
      <c r="S618" s="6"/>
      <c r="T618" s="8"/>
    </row>
    <row r="619" spans="1:20" x14ac:dyDescent="0.3">
      <c r="A619" s="1"/>
      <c r="B619" s="2"/>
      <c r="C619" s="2"/>
      <c r="D619" s="2"/>
      <c r="E619" s="2"/>
      <c r="F619" s="2"/>
      <c r="G619" s="2"/>
      <c r="H619" s="2"/>
      <c r="I619" s="2"/>
      <c r="J619" s="2"/>
      <c r="K619" s="2"/>
      <c r="L619" s="2"/>
      <c r="M619" s="2"/>
      <c r="N619" s="2"/>
      <c r="O619" s="2"/>
      <c r="P619" s="2"/>
      <c r="Q619" s="2"/>
      <c r="R619" s="2"/>
      <c r="S619" s="2"/>
      <c r="T619" s="4"/>
    </row>
    <row r="620" spans="1:20" x14ac:dyDescent="0.3">
      <c r="A620" s="5"/>
      <c r="B620" s="6"/>
      <c r="C620" s="6"/>
      <c r="D620" s="6"/>
      <c r="E620" s="6"/>
      <c r="F620" s="6"/>
      <c r="G620" s="6"/>
      <c r="H620" s="6"/>
      <c r="I620" s="6"/>
      <c r="J620" s="6"/>
      <c r="K620" s="6"/>
      <c r="L620" s="6"/>
      <c r="M620" s="6"/>
      <c r="N620" s="6"/>
      <c r="O620" s="6"/>
      <c r="P620" s="6"/>
      <c r="Q620" s="6"/>
      <c r="R620" s="6"/>
      <c r="S620" s="6"/>
      <c r="T620" s="8"/>
    </row>
    <row r="621" spans="1:20" x14ac:dyDescent="0.3">
      <c r="A621" s="1"/>
      <c r="B621" s="2"/>
      <c r="C621" s="2"/>
      <c r="D621" s="2"/>
      <c r="E621" s="2"/>
      <c r="F621" s="2"/>
      <c r="G621" s="2"/>
      <c r="H621" s="2"/>
      <c r="I621" s="2"/>
      <c r="J621" s="2"/>
      <c r="K621" s="2"/>
      <c r="L621" s="2"/>
      <c r="M621" s="2"/>
      <c r="N621" s="2"/>
      <c r="O621" s="2"/>
      <c r="P621" s="2"/>
      <c r="Q621" s="2"/>
      <c r="R621" s="2"/>
      <c r="S621" s="2"/>
      <c r="T621" s="4"/>
    </row>
    <row r="622" spans="1:20" x14ac:dyDescent="0.3">
      <c r="A622" s="5"/>
      <c r="B622" s="6"/>
      <c r="C622" s="6"/>
      <c r="D622" s="6"/>
      <c r="E622" s="6"/>
      <c r="F622" s="6"/>
      <c r="G622" s="6"/>
      <c r="H622" s="6"/>
      <c r="I622" s="6"/>
      <c r="J622" s="6"/>
      <c r="K622" s="6"/>
      <c r="L622" s="6"/>
      <c r="M622" s="6"/>
      <c r="N622" s="6"/>
      <c r="O622" s="6"/>
      <c r="P622" s="6"/>
      <c r="Q622" s="6"/>
      <c r="R622" s="6"/>
      <c r="S622" s="6"/>
      <c r="T622" s="8"/>
    </row>
    <row r="623" spans="1:20" x14ac:dyDescent="0.3">
      <c r="A623" s="1"/>
      <c r="B623" s="2"/>
      <c r="C623" s="2"/>
      <c r="D623" s="2"/>
      <c r="E623" s="2"/>
      <c r="F623" s="2"/>
      <c r="G623" s="2"/>
      <c r="H623" s="2"/>
      <c r="I623" s="2"/>
      <c r="J623" s="2"/>
      <c r="K623" s="2"/>
      <c r="L623" s="2"/>
      <c r="M623" s="2"/>
      <c r="N623" s="2"/>
      <c r="O623" s="2"/>
      <c r="P623" s="2"/>
      <c r="Q623" s="2"/>
      <c r="R623" s="2"/>
      <c r="S623" s="2"/>
      <c r="T623" s="4"/>
    </row>
    <row r="624" spans="1:20" x14ac:dyDescent="0.3">
      <c r="A624" s="5"/>
      <c r="B624" s="6"/>
      <c r="C624" s="6"/>
      <c r="D624" s="6"/>
      <c r="E624" s="6"/>
      <c r="F624" s="6"/>
      <c r="G624" s="6"/>
      <c r="H624" s="6"/>
      <c r="I624" s="6"/>
      <c r="J624" s="6"/>
      <c r="K624" s="6"/>
      <c r="L624" s="6"/>
      <c r="M624" s="6"/>
      <c r="N624" s="6"/>
      <c r="O624" s="7"/>
      <c r="P624" s="6"/>
      <c r="Q624" s="6"/>
      <c r="R624" s="6"/>
      <c r="S624" s="6"/>
      <c r="T624" s="8"/>
    </row>
    <row r="625" spans="1:20" x14ac:dyDescent="0.3">
      <c r="A625" s="1"/>
      <c r="B625" s="2"/>
      <c r="C625" s="2"/>
      <c r="D625" s="2"/>
      <c r="E625" s="2"/>
      <c r="F625" s="2"/>
      <c r="G625" s="2"/>
      <c r="H625" s="2"/>
      <c r="I625" s="2"/>
      <c r="J625" s="2"/>
      <c r="K625" s="2"/>
      <c r="L625" s="2"/>
      <c r="M625" s="2"/>
      <c r="N625" s="2"/>
      <c r="O625" s="2"/>
      <c r="P625" s="2"/>
      <c r="Q625" s="2"/>
      <c r="R625" s="2"/>
      <c r="S625" s="2"/>
      <c r="T625" s="4"/>
    </row>
    <row r="626" spans="1:20" x14ac:dyDescent="0.3">
      <c r="A626" s="5"/>
      <c r="B626" s="6"/>
      <c r="C626" s="6"/>
      <c r="D626" s="6"/>
      <c r="E626" s="6"/>
      <c r="F626" s="6"/>
      <c r="G626" s="6"/>
      <c r="H626" s="6"/>
      <c r="I626" s="6"/>
      <c r="J626" s="6"/>
      <c r="K626" s="6"/>
      <c r="L626" s="6"/>
      <c r="M626" s="6"/>
      <c r="N626" s="6"/>
      <c r="O626" s="6"/>
      <c r="P626" s="6"/>
      <c r="Q626" s="6"/>
      <c r="R626" s="6"/>
      <c r="S626" s="6"/>
      <c r="T626" s="8"/>
    </row>
    <row r="627" spans="1:20" x14ac:dyDescent="0.3">
      <c r="A627" s="1"/>
      <c r="B627" s="2"/>
      <c r="C627" s="2"/>
      <c r="D627" s="2"/>
      <c r="E627" s="2"/>
      <c r="F627" s="2"/>
      <c r="G627" s="2"/>
      <c r="H627" s="2"/>
      <c r="I627" s="2"/>
      <c r="J627" s="2"/>
      <c r="K627" s="2"/>
      <c r="L627" s="2"/>
      <c r="M627" s="2"/>
      <c r="N627" s="2"/>
      <c r="O627" s="2"/>
      <c r="P627" s="2"/>
      <c r="Q627" s="2"/>
      <c r="R627" s="2"/>
      <c r="S627" s="2"/>
      <c r="T627" s="4"/>
    </row>
    <row r="628" spans="1:20" x14ac:dyDescent="0.3">
      <c r="A628" s="5"/>
      <c r="B628" s="6"/>
      <c r="C628" s="6"/>
      <c r="D628" s="6"/>
      <c r="E628" s="6"/>
      <c r="F628" s="6"/>
      <c r="G628" s="6"/>
      <c r="H628" s="6"/>
      <c r="I628" s="6"/>
      <c r="J628" s="6"/>
      <c r="K628" s="6"/>
      <c r="L628" s="6"/>
      <c r="M628" s="6"/>
      <c r="N628" s="6"/>
      <c r="O628" s="6"/>
      <c r="P628" s="6"/>
      <c r="Q628" s="6"/>
      <c r="R628" s="6"/>
      <c r="S628" s="6"/>
      <c r="T628" s="8"/>
    </row>
    <row r="629" spans="1:20" x14ac:dyDescent="0.3">
      <c r="A629" s="1"/>
      <c r="B629" s="2"/>
      <c r="C629" s="2"/>
      <c r="D629" s="2"/>
      <c r="E629" s="2"/>
      <c r="F629" s="2"/>
      <c r="G629" s="2"/>
      <c r="H629" s="2"/>
      <c r="I629" s="2"/>
      <c r="J629" s="2"/>
      <c r="K629" s="2"/>
      <c r="L629" s="2"/>
      <c r="M629" s="2"/>
      <c r="N629" s="2"/>
      <c r="O629" s="2"/>
      <c r="P629" s="2"/>
      <c r="Q629" s="2"/>
      <c r="R629" s="2"/>
      <c r="S629" s="2"/>
      <c r="T629" s="4"/>
    </row>
    <row r="630" spans="1:20" x14ac:dyDescent="0.3">
      <c r="A630" s="5"/>
      <c r="B630" s="6"/>
      <c r="C630" s="6"/>
      <c r="D630" s="6"/>
      <c r="E630" s="6"/>
      <c r="F630" s="6"/>
      <c r="G630" s="6"/>
      <c r="H630" s="6"/>
      <c r="I630" s="6"/>
      <c r="J630" s="6"/>
      <c r="K630" s="6"/>
      <c r="L630" s="6"/>
      <c r="M630" s="6"/>
      <c r="N630" s="6"/>
      <c r="O630" s="6"/>
      <c r="P630" s="6"/>
      <c r="Q630" s="6"/>
      <c r="R630" s="6"/>
      <c r="S630" s="6"/>
      <c r="T630" s="8"/>
    </row>
    <row r="631" spans="1:20" x14ac:dyDescent="0.3">
      <c r="A631" s="1"/>
      <c r="B631" s="2"/>
      <c r="C631" s="2"/>
      <c r="D631" s="2"/>
      <c r="E631" s="2"/>
      <c r="F631" s="2"/>
      <c r="G631" s="2"/>
      <c r="H631" s="2"/>
      <c r="I631" s="2"/>
      <c r="J631" s="2"/>
      <c r="K631" s="2"/>
      <c r="L631" s="2"/>
      <c r="M631" s="2"/>
      <c r="N631" s="2"/>
      <c r="O631" s="2"/>
      <c r="P631" s="2"/>
      <c r="Q631" s="2"/>
      <c r="R631" s="2"/>
      <c r="S631" s="2"/>
      <c r="T631" s="4"/>
    </row>
    <row r="632" spans="1:20" x14ac:dyDescent="0.3">
      <c r="A632" s="5"/>
      <c r="B632" s="6"/>
      <c r="C632" s="6"/>
      <c r="D632" s="6"/>
      <c r="E632" s="6"/>
      <c r="F632" s="6"/>
      <c r="G632" s="6"/>
      <c r="H632" s="6"/>
      <c r="I632" s="6"/>
      <c r="J632" s="6"/>
      <c r="K632" s="6"/>
      <c r="L632" s="6"/>
      <c r="M632" s="6"/>
      <c r="N632" s="6"/>
      <c r="O632" s="6"/>
      <c r="P632" s="6"/>
      <c r="Q632" s="6"/>
      <c r="R632" s="6"/>
      <c r="S632" s="6"/>
      <c r="T632" s="8"/>
    </row>
    <row r="633" spans="1:20" x14ac:dyDescent="0.3">
      <c r="A633" s="1"/>
      <c r="B633" s="2"/>
      <c r="C633" s="2"/>
      <c r="D633" s="2"/>
      <c r="E633" s="2"/>
      <c r="F633" s="2"/>
      <c r="G633" s="2"/>
      <c r="H633" s="2"/>
      <c r="I633" s="2"/>
      <c r="J633" s="2"/>
      <c r="K633" s="2"/>
      <c r="L633" s="2"/>
      <c r="M633" s="2"/>
      <c r="N633" s="2"/>
      <c r="O633" s="2"/>
      <c r="P633" s="2"/>
      <c r="Q633" s="2"/>
      <c r="R633" s="2"/>
      <c r="S633" s="2"/>
      <c r="T633" s="4"/>
    </row>
    <row r="634" spans="1:20" x14ac:dyDescent="0.3">
      <c r="A634" s="5"/>
      <c r="B634" s="6"/>
      <c r="C634" s="6"/>
      <c r="D634" s="6"/>
      <c r="E634" s="6"/>
      <c r="F634" s="6"/>
      <c r="G634" s="6"/>
      <c r="H634" s="6"/>
      <c r="I634" s="6"/>
      <c r="J634" s="6"/>
      <c r="K634" s="6"/>
      <c r="L634" s="6"/>
      <c r="M634" s="6"/>
      <c r="N634" s="6"/>
      <c r="O634" s="6"/>
      <c r="P634" s="6"/>
      <c r="Q634" s="6"/>
      <c r="R634" s="6"/>
      <c r="S634" s="6"/>
      <c r="T634" s="8"/>
    </row>
    <row r="635" spans="1:20" x14ac:dyDescent="0.3">
      <c r="A635" s="1"/>
      <c r="B635" s="2"/>
      <c r="C635" s="2"/>
      <c r="D635" s="2"/>
      <c r="E635" s="2"/>
      <c r="F635" s="2"/>
      <c r="G635" s="2"/>
      <c r="H635" s="2"/>
      <c r="I635" s="2"/>
      <c r="J635" s="2"/>
      <c r="K635" s="2"/>
      <c r="L635" s="2"/>
      <c r="M635" s="2"/>
      <c r="N635" s="2"/>
      <c r="O635" s="3"/>
      <c r="P635" s="2"/>
      <c r="Q635" s="2"/>
      <c r="R635" s="2"/>
      <c r="S635" s="2"/>
      <c r="T635" s="4"/>
    </row>
    <row r="636" spans="1:20" x14ac:dyDescent="0.3">
      <c r="A636" s="5"/>
      <c r="B636" s="6"/>
      <c r="C636" s="6"/>
      <c r="D636" s="6"/>
      <c r="E636" s="6"/>
      <c r="F636" s="6"/>
      <c r="G636" s="6"/>
      <c r="H636" s="6"/>
      <c r="I636" s="6"/>
      <c r="J636" s="6"/>
      <c r="K636" s="6"/>
      <c r="L636" s="6"/>
      <c r="M636" s="6"/>
      <c r="N636" s="6"/>
      <c r="O636" s="6"/>
      <c r="P636" s="6"/>
      <c r="Q636" s="6"/>
      <c r="R636" s="6"/>
      <c r="S636" s="6"/>
      <c r="T636" s="8"/>
    </row>
    <row r="637" spans="1:20" x14ac:dyDescent="0.3">
      <c r="A637" s="1"/>
      <c r="B637" s="2"/>
      <c r="C637" s="2"/>
      <c r="D637" s="2"/>
      <c r="E637" s="2"/>
      <c r="F637" s="2"/>
      <c r="G637" s="2"/>
      <c r="H637" s="2"/>
      <c r="I637" s="2"/>
      <c r="J637" s="2"/>
      <c r="K637" s="2"/>
      <c r="L637" s="2"/>
      <c r="M637" s="2"/>
      <c r="N637" s="2"/>
      <c r="O637" s="2"/>
      <c r="P637" s="2"/>
      <c r="Q637" s="2"/>
      <c r="R637" s="2"/>
      <c r="S637" s="2"/>
      <c r="T637" s="4"/>
    </row>
    <row r="638" spans="1:20" x14ac:dyDescent="0.3">
      <c r="A638" s="5"/>
      <c r="B638" s="6"/>
      <c r="C638" s="6"/>
      <c r="D638" s="6"/>
      <c r="E638" s="6"/>
      <c r="F638" s="6"/>
      <c r="G638" s="6"/>
      <c r="H638" s="6"/>
      <c r="I638" s="6"/>
      <c r="J638" s="6"/>
      <c r="K638" s="6"/>
      <c r="L638" s="6"/>
      <c r="M638" s="6"/>
      <c r="N638" s="6"/>
      <c r="O638" s="6"/>
      <c r="P638" s="6"/>
      <c r="Q638" s="6"/>
      <c r="R638" s="6"/>
      <c r="S638" s="6"/>
      <c r="T638" s="8"/>
    </row>
    <row r="639" spans="1:20" x14ac:dyDescent="0.3">
      <c r="A639" s="1"/>
      <c r="B639" s="2"/>
      <c r="C639" s="2"/>
      <c r="D639" s="2"/>
      <c r="E639" s="2"/>
      <c r="F639" s="2"/>
      <c r="G639" s="2"/>
      <c r="H639" s="2"/>
      <c r="I639" s="2"/>
      <c r="J639" s="2"/>
      <c r="K639" s="2"/>
      <c r="L639" s="2"/>
      <c r="M639" s="2"/>
      <c r="N639" s="2"/>
      <c r="O639" s="2"/>
      <c r="P639" s="2"/>
      <c r="Q639" s="2"/>
      <c r="R639" s="2"/>
      <c r="S639" s="2"/>
      <c r="T639" s="4"/>
    </row>
    <row r="640" spans="1:20" x14ac:dyDescent="0.3">
      <c r="A640" s="5"/>
      <c r="B640" s="6"/>
      <c r="C640" s="6"/>
      <c r="D640" s="6"/>
      <c r="E640" s="6"/>
      <c r="F640" s="6"/>
      <c r="G640" s="6"/>
      <c r="H640" s="6"/>
      <c r="I640" s="6"/>
      <c r="J640" s="6"/>
      <c r="K640" s="6"/>
      <c r="L640" s="6"/>
      <c r="M640" s="6"/>
      <c r="N640" s="6"/>
      <c r="O640" s="6"/>
      <c r="P640" s="6"/>
      <c r="Q640" s="6"/>
      <c r="R640" s="6"/>
      <c r="S640" s="6"/>
      <c r="T640" s="8"/>
    </row>
    <row r="641" spans="1:20" x14ac:dyDescent="0.3">
      <c r="A641" s="1"/>
      <c r="B641" s="2"/>
      <c r="C641" s="2"/>
      <c r="D641" s="2"/>
      <c r="E641" s="2"/>
      <c r="F641" s="2"/>
      <c r="G641" s="2"/>
      <c r="H641" s="2"/>
      <c r="I641" s="2"/>
      <c r="J641" s="2"/>
      <c r="K641" s="2"/>
      <c r="L641" s="2"/>
      <c r="M641" s="2"/>
      <c r="N641" s="2"/>
      <c r="O641" s="3"/>
      <c r="P641" s="2"/>
      <c r="Q641" s="2"/>
      <c r="R641" s="2"/>
      <c r="S641" s="2"/>
      <c r="T641" s="4"/>
    </row>
    <row r="642" spans="1:20" x14ac:dyDescent="0.3">
      <c r="A642" s="5"/>
      <c r="B642" s="6"/>
      <c r="C642" s="6"/>
      <c r="D642" s="6"/>
      <c r="E642" s="6"/>
      <c r="F642" s="6"/>
      <c r="G642" s="6"/>
      <c r="H642" s="6"/>
      <c r="I642" s="6"/>
      <c r="J642" s="6"/>
      <c r="K642" s="6"/>
      <c r="L642" s="6"/>
      <c r="M642" s="6"/>
      <c r="N642" s="6"/>
      <c r="O642" s="6"/>
      <c r="P642" s="6"/>
      <c r="Q642" s="6"/>
      <c r="R642" s="6"/>
      <c r="S642" s="6"/>
      <c r="T642" s="8"/>
    </row>
    <row r="643" spans="1:20" x14ac:dyDescent="0.3">
      <c r="A643" s="1"/>
      <c r="B643" s="2"/>
      <c r="C643" s="2"/>
      <c r="D643" s="2"/>
      <c r="E643" s="2"/>
      <c r="F643" s="2"/>
      <c r="G643" s="2"/>
      <c r="H643" s="2"/>
      <c r="I643" s="2"/>
      <c r="J643" s="2"/>
      <c r="K643" s="2"/>
      <c r="L643" s="2"/>
      <c r="M643" s="2"/>
      <c r="N643" s="2"/>
      <c r="O643" s="2"/>
      <c r="P643" s="2"/>
      <c r="Q643" s="2"/>
      <c r="R643" s="2"/>
      <c r="S643" s="2"/>
      <c r="T643" s="4"/>
    </row>
    <row r="644" spans="1:20" x14ac:dyDescent="0.3">
      <c r="A644" s="5"/>
      <c r="B644" s="6"/>
      <c r="C644" s="6"/>
      <c r="D644" s="6"/>
      <c r="E644" s="6"/>
      <c r="F644" s="6"/>
      <c r="G644" s="6"/>
      <c r="H644" s="6"/>
      <c r="I644" s="6"/>
      <c r="J644" s="6"/>
      <c r="K644" s="6"/>
      <c r="L644" s="6"/>
      <c r="M644" s="6"/>
      <c r="N644" s="6"/>
      <c r="O644" s="6"/>
      <c r="P644" s="6"/>
      <c r="Q644" s="6"/>
      <c r="R644" s="6"/>
      <c r="S644" s="6"/>
      <c r="T644" s="8"/>
    </row>
    <row r="645" spans="1:20" x14ac:dyDescent="0.3">
      <c r="A645" s="1"/>
      <c r="B645" s="2"/>
      <c r="C645" s="2"/>
      <c r="D645" s="2"/>
      <c r="E645" s="2"/>
      <c r="F645" s="2"/>
      <c r="G645" s="2"/>
      <c r="H645" s="2"/>
      <c r="I645" s="2"/>
      <c r="J645" s="2"/>
      <c r="K645" s="2"/>
      <c r="L645" s="2"/>
      <c r="M645" s="2"/>
      <c r="N645" s="2"/>
      <c r="O645" s="2"/>
      <c r="P645" s="2"/>
      <c r="Q645" s="2"/>
      <c r="R645" s="2"/>
      <c r="S645" s="2"/>
      <c r="T645" s="4"/>
    </row>
    <row r="646" spans="1:20" x14ac:dyDescent="0.3">
      <c r="A646" s="5"/>
      <c r="B646" s="6"/>
      <c r="C646" s="6"/>
      <c r="D646" s="6"/>
      <c r="E646" s="6"/>
      <c r="F646" s="6"/>
      <c r="G646" s="6"/>
      <c r="H646" s="6"/>
      <c r="I646" s="6"/>
      <c r="J646" s="6"/>
      <c r="K646" s="6"/>
      <c r="L646" s="6"/>
      <c r="M646" s="6"/>
      <c r="N646" s="6"/>
      <c r="O646" s="7"/>
      <c r="P646" s="6"/>
      <c r="Q646" s="6"/>
      <c r="R646" s="6"/>
      <c r="S646" s="6"/>
      <c r="T646" s="8"/>
    </row>
    <row r="647" spans="1:20" x14ac:dyDescent="0.3">
      <c r="A647" s="1"/>
      <c r="B647" s="2"/>
      <c r="C647" s="2"/>
      <c r="D647" s="2"/>
      <c r="E647" s="2"/>
      <c r="F647" s="2"/>
      <c r="G647" s="2"/>
      <c r="H647" s="2"/>
      <c r="I647" s="2"/>
      <c r="J647" s="2"/>
      <c r="K647" s="2"/>
      <c r="L647" s="2"/>
      <c r="M647" s="2"/>
      <c r="N647" s="2"/>
      <c r="O647" s="3"/>
      <c r="P647" s="2"/>
      <c r="Q647" s="2"/>
      <c r="R647" s="2"/>
      <c r="S647" s="2"/>
      <c r="T647" s="4"/>
    </row>
    <row r="648" spans="1:20" x14ac:dyDescent="0.3">
      <c r="A648" s="5"/>
      <c r="B648" s="6"/>
      <c r="C648" s="6"/>
      <c r="D648" s="6"/>
      <c r="E648" s="6"/>
      <c r="F648" s="6"/>
      <c r="G648" s="6"/>
      <c r="H648" s="6"/>
      <c r="I648" s="6"/>
      <c r="J648" s="6"/>
      <c r="K648" s="6"/>
      <c r="L648" s="6"/>
      <c r="M648" s="6"/>
      <c r="N648" s="6"/>
      <c r="O648" s="6"/>
      <c r="P648" s="6"/>
      <c r="Q648" s="6"/>
      <c r="R648" s="6"/>
      <c r="S648" s="6"/>
      <c r="T648" s="8"/>
    </row>
    <row r="649" spans="1:20" x14ac:dyDescent="0.3">
      <c r="A649" s="1"/>
      <c r="B649" s="2"/>
      <c r="C649" s="2"/>
      <c r="D649" s="2"/>
      <c r="E649" s="2"/>
      <c r="F649" s="2"/>
      <c r="G649" s="2"/>
      <c r="H649" s="2"/>
      <c r="I649" s="2"/>
      <c r="J649" s="2"/>
      <c r="K649" s="2"/>
      <c r="L649" s="2"/>
      <c r="M649" s="2"/>
      <c r="N649" s="2"/>
      <c r="O649" s="2"/>
      <c r="P649" s="2"/>
      <c r="Q649" s="2"/>
      <c r="R649" s="2"/>
      <c r="S649" s="2"/>
      <c r="T649" s="4"/>
    </row>
    <row r="650" spans="1:20" x14ac:dyDescent="0.3">
      <c r="A650" s="5"/>
      <c r="B650" s="6"/>
      <c r="C650" s="6"/>
      <c r="D650" s="6"/>
      <c r="E650" s="6"/>
      <c r="F650" s="6"/>
      <c r="G650" s="6"/>
      <c r="H650" s="6"/>
      <c r="I650" s="6"/>
      <c r="J650" s="6"/>
      <c r="K650" s="6"/>
      <c r="L650" s="6"/>
      <c r="M650" s="6"/>
      <c r="N650" s="6"/>
      <c r="O650" s="7"/>
      <c r="P650" s="6"/>
      <c r="Q650" s="6"/>
      <c r="R650" s="6"/>
      <c r="S650" s="6"/>
      <c r="T650" s="8"/>
    </row>
    <row r="651" spans="1:20" x14ac:dyDescent="0.3">
      <c r="A651" s="1"/>
      <c r="B651" s="2"/>
      <c r="C651" s="2"/>
      <c r="D651" s="2"/>
      <c r="E651" s="2"/>
      <c r="F651" s="2"/>
      <c r="G651" s="2"/>
      <c r="H651" s="2"/>
      <c r="I651" s="2"/>
      <c r="J651" s="2"/>
      <c r="K651" s="2"/>
      <c r="L651" s="2"/>
      <c r="M651" s="2"/>
      <c r="N651" s="2"/>
      <c r="O651" s="2"/>
      <c r="P651" s="2"/>
      <c r="Q651" s="2"/>
      <c r="R651" s="2"/>
      <c r="S651" s="2"/>
      <c r="T651" s="4"/>
    </row>
    <row r="652" spans="1:20" x14ac:dyDescent="0.3">
      <c r="A652" s="5"/>
      <c r="B652" s="6"/>
      <c r="C652" s="6"/>
      <c r="D652" s="6"/>
      <c r="E652" s="6"/>
      <c r="F652" s="6"/>
      <c r="G652" s="6"/>
      <c r="H652" s="6"/>
      <c r="I652" s="6"/>
      <c r="J652" s="6"/>
      <c r="K652" s="6"/>
      <c r="L652" s="6"/>
      <c r="M652" s="6"/>
      <c r="N652" s="6"/>
      <c r="O652" s="6"/>
      <c r="P652" s="6"/>
      <c r="Q652" s="6"/>
      <c r="R652" s="6"/>
      <c r="S652" s="6"/>
      <c r="T652" s="8"/>
    </row>
    <row r="653" spans="1:20" x14ac:dyDescent="0.3">
      <c r="A653" s="1"/>
      <c r="B653" s="2"/>
      <c r="C653" s="2"/>
      <c r="D653" s="2"/>
      <c r="E653" s="2"/>
      <c r="F653" s="2"/>
      <c r="G653" s="2"/>
      <c r="H653" s="2"/>
      <c r="I653" s="2"/>
      <c r="J653" s="2"/>
      <c r="K653" s="2"/>
      <c r="L653" s="2"/>
      <c r="M653" s="2"/>
      <c r="N653" s="2"/>
      <c r="O653" s="2"/>
      <c r="P653" s="2"/>
      <c r="Q653" s="2"/>
      <c r="R653" s="2"/>
      <c r="S653" s="2"/>
      <c r="T653" s="4"/>
    </row>
    <row r="654" spans="1:20" x14ac:dyDescent="0.3">
      <c r="A654" s="5"/>
      <c r="B654" s="6"/>
      <c r="C654" s="6"/>
      <c r="D654" s="6"/>
      <c r="E654" s="6"/>
      <c r="F654" s="6"/>
      <c r="G654" s="6"/>
      <c r="H654" s="6"/>
      <c r="I654" s="6"/>
      <c r="J654" s="6"/>
      <c r="K654" s="6"/>
      <c r="L654" s="6"/>
      <c r="M654" s="6"/>
      <c r="N654" s="6"/>
      <c r="O654" s="6"/>
      <c r="P654" s="6"/>
      <c r="Q654" s="6"/>
      <c r="R654" s="6"/>
      <c r="S654" s="6"/>
      <c r="T654" s="8"/>
    </row>
    <row r="655" spans="1:20" x14ac:dyDescent="0.3">
      <c r="A655" s="1"/>
      <c r="B655" s="2"/>
      <c r="C655" s="2"/>
      <c r="D655" s="2"/>
      <c r="E655" s="2"/>
      <c r="F655" s="2"/>
      <c r="G655" s="2"/>
      <c r="H655" s="2"/>
      <c r="I655" s="2"/>
      <c r="J655" s="2"/>
      <c r="K655" s="2"/>
      <c r="L655" s="2"/>
      <c r="M655" s="2"/>
      <c r="N655" s="2"/>
      <c r="O655" s="2"/>
      <c r="P655" s="2"/>
      <c r="Q655" s="2"/>
      <c r="R655" s="2"/>
      <c r="S655" s="2"/>
      <c r="T655" s="4"/>
    </row>
    <row r="656" spans="1:20" x14ac:dyDescent="0.3">
      <c r="A656" s="5"/>
      <c r="B656" s="6"/>
      <c r="C656" s="6"/>
      <c r="D656" s="6"/>
      <c r="E656" s="6"/>
      <c r="F656" s="6"/>
      <c r="G656" s="6"/>
      <c r="H656" s="6"/>
      <c r="I656" s="6"/>
      <c r="J656" s="6"/>
      <c r="K656" s="6"/>
      <c r="L656" s="6"/>
      <c r="M656" s="6"/>
      <c r="N656" s="6"/>
      <c r="O656" s="6"/>
      <c r="P656" s="6"/>
      <c r="Q656" s="6"/>
      <c r="R656" s="6"/>
      <c r="S656" s="6"/>
      <c r="T656" s="8"/>
    </row>
    <row r="657" spans="1:20" x14ac:dyDescent="0.3">
      <c r="A657" s="1"/>
      <c r="B657" s="2"/>
      <c r="C657" s="2"/>
      <c r="D657" s="2"/>
      <c r="E657" s="2"/>
      <c r="F657" s="2"/>
      <c r="G657" s="2"/>
      <c r="H657" s="2"/>
      <c r="I657" s="2"/>
      <c r="J657" s="2"/>
      <c r="K657" s="2"/>
      <c r="L657" s="2"/>
      <c r="M657" s="2"/>
      <c r="N657" s="2"/>
      <c r="O657" s="3"/>
      <c r="P657" s="2"/>
      <c r="Q657" s="2"/>
      <c r="R657" s="2"/>
      <c r="S657" s="2"/>
      <c r="T657" s="4"/>
    </row>
    <row r="658" spans="1:20" x14ac:dyDescent="0.3">
      <c r="A658" s="5"/>
      <c r="B658" s="6"/>
      <c r="C658" s="6"/>
      <c r="D658" s="6"/>
      <c r="E658" s="6"/>
      <c r="F658" s="6"/>
      <c r="G658" s="6"/>
      <c r="H658" s="6"/>
      <c r="I658" s="6"/>
      <c r="J658" s="6"/>
      <c r="K658" s="6"/>
      <c r="L658" s="6"/>
      <c r="M658" s="6"/>
      <c r="N658" s="6"/>
      <c r="O658" s="7"/>
      <c r="P658" s="6"/>
      <c r="Q658" s="6"/>
      <c r="R658" s="6"/>
      <c r="S658" s="6"/>
      <c r="T658" s="8"/>
    </row>
    <row r="659" spans="1:20" x14ac:dyDescent="0.3">
      <c r="A659" s="1"/>
      <c r="B659" s="2"/>
      <c r="C659" s="2"/>
      <c r="D659" s="2"/>
      <c r="E659" s="2"/>
      <c r="F659" s="2"/>
      <c r="G659" s="2"/>
      <c r="H659" s="2"/>
      <c r="I659" s="2"/>
      <c r="J659" s="2"/>
      <c r="K659" s="2"/>
      <c r="L659" s="2"/>
      <c r="M659" s="2"/>
      <c r="N659" s="2"/>
      <c r="O659" s="3"/>
      <c r="P659" s="2"/>
      <c r="Q659" s="2"/>
      <c r="R659" s="2"/>
      <c r="S659" s="2"/>
      <c r="T659" s="4"/>
    </row>
    <row r="660" spans="1:20" x14ac:dyDescent="0.3">
      <c r="A660" s="5"/>
      <c r="B660" s="6"/>
      <c r="C660" s="6"/>
      <c r="D660" s="6"/>
      <c r="E660" s="6"/>
      <c r="F660" s="6"/>
      <c r="G660" s="6"/>
      <c r="H660" s="6"/>
      <c r="I660" s="6"/>
      <c r="J660" s="6"/>
      <c r="K660" s="6"/>
      <c r="L660" s="6"/>
      <c r="M660" s="6"/>
      <c r="N660" s="6"/>
      <c r="O660" s="6"/>
      <c r="P660" s="6"/>
      <c r="Q660" s="6"/>
      <c r="R660" s="6"/>
      <c r="S660" s="6"/>
      <c r="T660" s="8"/>
    </row>
    <row r="661" spans="1:20" x14ac:dyDescent="0.3">
      <c r="A661" s="1"/>
      <c r="B661" s="2"/>
      <c r="C661" s="2"/>
      <c r="D661" s="2"/>
      <c r="E661" s="2"/>
      <c r="F661" s="2"/>
      <c r="G661" s="2"/>
      <c r="H661" s="2"/>
      <c r="I661" s="2"/>
      <c r="J661" s="2"/>
      <c r="K661" s="2"/>
      <c r="L661" s="2"/>
      <c r="M661" s="2"/>
      <c r="N661" s="2"/>
      <c r="O661" s="2"/>
      <c r="P661" s="2"/>
      <c r="Q661" s="2"/>
      <c r="R661" s="2"/>
      <c r="S661" s="2"/>
      <c r="T661" s="4"/>
    </row>
    <row r="662" spans="1:20" x14ac:dyDescent="0.3">
      <c r="A662" s="5"/>
      <c r="B662" s="6"/>
      <c r="C662" s="6"/>
      <c r="D662" s="6"/>
      <c r="E662" s="6"/>
      <c r="F662" s="6"/>
      <c r="G662" s="6"/>
      <c r="H662" s="6"/>
      <c r="I662" s="6"/>
      <c r="J662" s="6"/>
      <c r="K662" s="6"/>
      <c r="L662" s="6"/>
      <c r="M662" s="6"/>
      <c r="N662" s="6"/>
      <c r="O662" s="6"/>
      <c r="P662" s="6"/>
      <c r="Q662" s="6"/>
      <c r="R662" s="6"/>
      <c r="S662" s="6"/>
      <c r="T662" s="8"/>
    </row>
    <row r="663" spans="1:20" x14ac:dyDescent="0.3">
      <c r="A663" s="1"/>
      <c r="B663" s="2"/>
      <c r="C663" s="2"/>
      <c r="D663" s="2"/>
      <c r="E663" s="2"/>
      <c r="F663" s="2"/>
      <c r="G663" s="2"/>
      <c r="H663" s="2"/>
      <c r="I663" s="2"/>
      <c r="J663" s="2"/>
      <c r="K663" s="2"/>
      <c r="L663" s="2"/>
      <c r="M663" s="2"/>
      <c r="N663" s="2"/>
      <c r="O663" s="2"/>
      <c r="P663" s="2"/>
      <c r="Q663" s="2"/>
      <c r="R663" s="2"/>
      <c r="S663" s="2"/>
      <c r="T663" s="4"/>
    </row>
    <row r="664" spans="1:20" x14ac:dyDescent="0.3">
      <c r="A664" s="5"/>
      <c r="B664" s="6"/>
      <c r="C664" s="6"/>
      <c r="D664" s="6"/>
      <c r="E664" s="6"/>
      <c r="F664" s="6"/>
      <c r="G664" s="6"/>
      <c r="H664" s="6"/>
      <c r="I664" s="6"/>
      <c r="J664" s="6"/>
      <c r="K664" s="6"/>
      <c r="L664" s="6"/>
      <c r="M664" s="6"/>
      <c r="N664" s="6"/>
      <c r="O664" s="6"/>
      <c r="P664" s="6"/>
      <c r="Q664" s="6"/>
      <c r="R664" s="6"/>
      <c r="S664" s="6"/>
      <c r="T664" s="8"/>
    </row>
    <row r="665" spans="1:20" x14ac:dyDescent="0.3">
      <c r="A665" s="1"/>
      <c r="B665" s="2"/>
      <c r="C665" s="2"/>
      <c r="D665" s="2"/>
      <c r="E665" s="2"/>
      <c r="F665" s="2"/>
      <c r="G665" s="2"/>
      <c r="H665" s="2"/>
      <c r="I665" s="2"/>
      <c r="J665" s="2"/>
      <c r="K665" s="2"/>
      <c r="L665" s="2"/>
      <c r="M665" s="2"/>
      <c r="N665" s="2"/>
      <c r="O665" s="3"/>
      <c r="P665" s="2"/>
      <c r="Q665" s="2"/>
      <c r="R665" s="2"/>
      <c r="S665" s="2"/>
      <c r="T665" s="4"/>
    </row>
    <row r="666" spans="1:20" x14ac:dyDescent="0.3">
      <c r="A666" s="5"/>
      <c r="B666" s="6"/>
      <c r="C666" s="6"/>
      <c r="D666" s="6"/>
      <c r="E666" s="6"/>
      <c r="F666" s="6"/>
      <c r="G666" s="6"/>
      <c r="H666" s="6"/>
      <c r="I666" s="6"/>
      <c r="J666" s="6"/>
      <c r="K666" s="6"/>
      <c r="L666" s="6"/>
      <c r="M666" s="6"/>
      <c r="N666" s="6"/>
      <c r="O666" s="7"/>
      <c r="P666" s="6"/>
      <c r="Q666" s="6"/>
      <c r="R666" s="6"/>
      <c r="S666" s="6"/>
      <c r="T666" s="8"/>
    </row>
    <row r="667" spans="1:20" x14ac:dyDescent="0.3">
      <c r="A667" s="1"/>
      <c r="B667" s="2"/>
      <c r="C667" s="2"/>
      <c r="D667" s="2"/>
      <c r="E667" s="2"/>
      <c r="F667" s="2"/>
      <c r="G667" s="2"/>
      <c r="H667" s="2"/>
      <c r="I667" s="2"/>
      <c r="J667" s="2"/>
      <c r="K667" s="2"/>
      <c r="L667" s="2"/>
      <c r="M667" s="2"/>
      <c r="N667" s="2"/>
      <c r="O667" s="2"/>
      <c r="P667" s="2"/>
      <c r="Q667" s="2"/>
      <c r="R667" s="2"/>
      <c r="S667" s="2"/>
      <c r="T667" s="4"/>
    </row>
    <row r="668" spans="1:20" x14ac:dyDescent="0.3">
      <c r="A668" s="5"/>
      <c r="B668" s="6"/>
      <c r="C668" s="6"/>
      <c r="D668" s="6"/>
      <c r="E668" s="6"/>
      <c r="F668" s="6"/>
      <c r="G668" s="6"/>
      <c r="H668" s="6"/>
      <c r="I668" s="6"/>
      <c r="J668" s="6"/>
      <c r="K668" s="6"/>
      <c r="L668" s="6"/>
      <c r="M668" s="6"/>
      <c r="N668" s="6"/>
      <c r="O668" s="6"/>
      <c r="P668" s="6"/>
      <c r="Q668" s="6"/>
      <c r="R668" s="6"/>
      <c r="S668" s="6"/>
      <c r="T668" s="8"/>
    </row>
    <row r="669" spans="1:20" x14ac:dyDescent="0.3">
      <c r="A669" s="1"/>
      <c r="B669" s="2"/>
      <c r="C669" s="2"/>
      <c r="D669" s="2"/>
      <c r="E669" s="2"/>
      <c r="F669" s="2"/>
      <c r="G669" s="2"/>
      <c r="H669" s="2"/>
      <c r="I669" s="2"/>
      <c r="J669" s="2"/>
      <c r="K669" s="2"/>
      <c r="L669" s="2"/>
      <c r="M669" s="2"/>
      <c r="N669" s="2"/>
      <c r="O669" s="2"/>
      <c r="P669" s="2"/>
      <c r="Q669" s="2"/>
      <c r="R669" s="2"/>
      <c r="S669" s="2"/>
      <c r="T669" s="4"/>
    </row>
    <row r="670" spans="1:20" x14ac:dyDescent="0.3">
      <c r="A670" s="5"/>
      <c r="B670" s="6"/>
      <c r="C670" s="6"/>
      <c r="D670" s="6"/>
      <c r="E670" s="6"/>
      <c r="F670" s="6"/>
      <c r="G670" s="6"/>
      <c r="H670" s="6"/>
      <c r="I670" s="6"/>
      <c r="J670" s="6"/>
      <c r="K670" s="6"/>
      <c r="L670" s="6"/>
      <c r="M670" s="6"/>
      <c r="N670" s="6"/>
      <c r="O670" s="6"/>
      <c r="P670" s="6"/>
      <c r="Q670" s="6"/>
      <c r="R670" s="6"/>
      <c r="S670" s="6"/>
      <c r="T670" s="8"/>
    </row>
    <row r="671" spans="1:20" x14ac:dyDescent="0.3">
      <c r="A671" s="1"/>
      <c r="B671" s="2"/>
      <c r="C671" s="2"/>
      <c r="D671" s="2"/>
      <c r="E671" s="2"/>
      <c r="F671" s="2"/>
      <c r="G671" s="2"/>
      <c r="H671" s="2"/>
      <c r="I671" s="2"/>
      <c r="J671" s="2"/>
      <c r="K671" s="2"/>
      <c r="L671" s="2"/>
      <c r="M671" s="2"/>
      <c r="N671" s="2"/>
      <c r="O671" s="3"/>
      <c r="P671" s="2"/>
      <c r="Q671" s="2"/>
      <c r="R671" s="2"/>
      <c r="S671" s="2"/>
      <c r="T671" s="4"/>
    </row>
    <row r="672" spans="1:20" x14ac:dyDescent="0.3">
      <c r="A672" s="5"/>
      <c r="B672" s="6"/>
      <c r="C672" s="6"/>
      <c r="D672" s="6"/>
      <c r="E672" s="6"/>
      <c r="F672" s="6"/>
      <c r="G672" s="6"/>
      <c r="H672" s="6"/>
      <c r="I672" s="6"/>
      <c r="J672" s="6"/>
      <c r="K672" s="6"/>
      <c r="L672" s="6"/>
      <c r="M672" s="6"/>
      <c r="N672" s="6"/>
      <c r="O672" s="7"/>
      <c r="P672" s="6"/>
      <c r="Q672" s="6"/>
      <c r="R672" s="6"/>
      <c r="S672" s="6"/>
      <c r="T672" s="8"/>
    </row>
    <row r="673" spans="1:20" x14ac:dyDescent="0.3">
      <c r="A673" s="1"/>
      <c r="B673" s="2"/>
      <c r="C673" s="2"/>
      <c r="D673" s="2"/>
      <c r="E673" s="2"/>
      <c r="F673" s="2"/>
      <c r="G673" s="2"/>
      <c r="H673" s="2"/>
      <c r="I673" s="2"/>
      <c r="J673" s="2"/>
      <c r="K673" s="2"/>
      <c r="L673" s="2"/>
      <c r="M673" s="2"/>
      <c r="N673" s="2"/>
      <c r="O673" s="2"/>
      <c r="P673" s="2"/>
      <c r="Q673" s="2"/>
      <c r="R673" s="2"/>
      <c r="S673" s="2"/>
      <c r="T673" s="4"/>
    </row>
    <row r="674" spans="1:20" x14ac:dyDescent="0.3">
      <c r="A674" s="5"/>
      <c r="B674" s="6"/>
      <c r="C674" s="6"/>
      <c r="D674" s="6"/>
      <c r="E674" s="6"/>
      <c r="F674" s="6"/>
      <c r="G674" s="6"/>
      <c r="H674" s="6"/>
      <c r="I674" s="6"/>
      <c r="J674" s="6"/>
      <c r="K674" s="6"/>
      <c r="L674" s="6"/>
      <c r="M674" s="6"/>
      <c r="N674" s="6"/>
      <c r="O674" s="7"/>
      <c r="P674" s="6"/>
      <c r="Q674" s="6"/>
      <c r="R674" s="6"/>
      <c r="S674" s="6"/>
      <c r="T674" s="8"/>
    </row>
    <row r="675" spans="1:20" x14ac:dyDescent="0.3">
      <c r="A675" s="1"/>
      <c r="B675" s="2"/>
      <c r="C675" s="2"/>
      <c r="D675" s="2"/>
      <c r="E675" s="2"/>
      <c r="F675" s="2"/>
      <c r="G675" s="2"/>
      <c r="H675" s="2"/>
      <c r="I675" s="2"/>
      <c r="J675" s="2"/>
      <c r="K675" s="2"/>
      <c r="L675" s="2"/>
      <c r="M675" s="2"/>
      <c r="N675" s="2"/>
      <c r="O675" s="3"/>
      <c r="P675" s="2"/>
      <c r="Q675" s="2"/>
      <c r="R675" s="2"/>
      <c r="S675" s="2"/>
      <c r="T675" s="4"/>
    </row>
    <row r="676" spans="1:20" x14ac:dyDescent="0.3">
      <c r="A676" s="5"/>
      <c r="B676" s="6"/>
      <c r="C676" s="6"/>
      <c r="D676" s="6"/>
      <c r="E676" s="6"/>
      <c r="F676" s="6"/>
      <c r="G676" s="6"/>
      <c r="H676" s="6"/>
      <c r="I676" s="6"/>
      <c r="J676" s="6"/>
      <c r="K676" s="6"/>
      <c r="L676" s="6"/>
      <c r="M676" s="6"/>
      <c r="N676" s="6"/>
      <c r="O676" s="7"/>
      <c r="P676" s="6"/>
      <c r="Q676" s="6"/>
      <c r="R676" s="6"/>
      <c r="S676" s="6"/>
      <c r="T676" s="8"/>
    </row>
    <row r="677" spans="1:20" x14ac:dyDescent="0.3">
      <c r="A677" s="1"/>
      <c r="B677" s="2"/>
      <c r="C677" s="2"/>
      <c r="D677" s="2"/>
      <c r="E677" s="2"/>
      <c r="F677" s="2"/>
      <c r="G677" s="2"/>
      <c r="H677" s="2"/>
      <c r="I677" s="2"/>
      <c r="J677" s="2"/>
      <c r="K677" s="2"/>
      <c r="L677" s="2"/>
      <c r="M677" s="2"/>
      <c r="N677" s="2"/>
      <c r="O677" s="2"/>
      <c r="P677" s="2"/>
      <c r="Q677" s="2"/>
      <c r="R677" s="2"/>
      <c r="S677" s="2"/>
      <c r="T677" s="4"/>
    </row>
    <row r="678" spans="1:20" x14ac:dyDescent="0.3">
      <c r="A678" s="5"/>
      <c r="B678" s="6"/>
      <c r="C678" s="6"/>
      <c r="D678" s="6"/>
      <c r="E678" s="6"/>
      <c r="F678" s="6"/>
      <c r="G678" s="6"/>
      <c r="H678" s="6"/>
      <c r="I678" s="6"/>
      <c r="J678" s="6"/>
      <c r="K678" s="6"/>
      <c r="L678" s="6"/>
      <c r="M678" s="6"/>
      <c r="N678" s="6"/>
      <c r="O678" s="7"/>
      <c r="P678" s="6"/>
      <c r="Q678" s="6"/>
      <c r="R678" s="6"/>
      <c r="S678" s="6"/>
      <c r="T678" s="8"/>
    </row>
    <row r="679" spans="1:20" x14ac:dyDescent="0.3">
      <c r="A679" s="1"/>
      <c r="B679" s="2"/>
      <c r="C679" s="2"/>
      <c r="D679" s="2"/>
      <c r="E679" s="2"/>
      <c r="F679" s="2"/>
      <c r="G679" s="2"/>
      <c r="H679" s="2"/>
      <c r="I679" s="2"/>
      <c r="J679" s="2"/>
      <c r="K679" s="2"/>
      <c r="L679" s="2"/>
      <c r="M679" s="2"/>
      <c r="N679" s="2"/>
      <c r="O679" s="2"/>
      <c r="P679" s="2"/>
      <c r="Q679" s="2"/>
      <c r="R679" s="2"/>
      <c r="S679" s="2"/>
      <c r="T679" s="4"/>
    </row>
    <row r="680" spans="1:20" x14ac:dyDescent="0.3">
      <c r="A680" s="5"/>
      <c r="B680" s="6"/>
      <c r="C680" s="6"/>
      <c r="D680" s="6"/>
      <c r="E680" s="6"/>
      <c r="F680" s="6"/>
      <c r="G680" s="6"/>
      <c r="H680" s="6"/>
      <c r="I680" s="6"/>
      <c r="J680" s="6"/>
      <c r="K680" s="6"/>
      <c r="L680" s="6"/>
      <c r="M680" s="6"/>
      <c r="N680" s="6"/>
      <c r="O680" s="6"/>
      <c r="P680" s="6"/>
      <c r="Q680" s="6"/>
      <c r="R680" s="6"/>
      <c r="S680" s="6"/>
      <c r="T680" s="8"/>
    </row>
    <row r="681" spans="1:20" x14ac:dyDescent="0.3">
      <c r="A681" s="1"/>
      <c r="B681" s="2"/>
      <c r="C681" s="2"/>
      <c r="D681" s="2"/>
      <c r="E681" s="2"/>
      <c r="F681" s="2"/>
      <c r="G681" s="2"/>
      <c r="H681" s="2"/>
      <c r="I681" s="2"/>
      <c r="J681" s="2"/>
      <c r="K681" s="2"/>
      <c r="L681" s="2"/>
      <c r="M681" s="2"/>
      <c r="N681" s="2"/>
      <c r="O681" s="3"/>
      <c r="P681" s="2"/>
      <c r="Q681" s="2"/>
      <c r="R681" s="2"/>
      <c r="S681" s="2"/>
      <c r="T681" s="4"/>
    </row>
    <row r="682" spans="1:20" x14ac:dyDescent="0.3">
      <c r="A682" s="5"/>
      <c r="B682" s="6"/>
      <c r="C682" s="6"/>
      <c r="D682" s="6"/>
      <c r="E682" s="6"/>
      <c r="F682" s="6"/>
      <c r="G682" s="6"/>
      <c r="H682" s="6"/>
      <c r="I682" s="6"/>
      <c r="J682" s="6"/>
      <c r="K682" s="6"/>
      <c r="L682" s="6"/>
      <c r="M682" s="6"/>
      <c r="N682" s="6"/>
      <c r="O682" s="7"/>
      <c r="P682" s="6"/>
      <c r="Q682" s="6"/>
      <c r="R682" s="6"/>
      <c r="S682" s="6"/>
      <c r="T682" s="8"/>
    </row>
    <row r="683" spans="1:20" x14ac:dyDescent="0.3">
      <c r="A683" s="1"/>
      <c r="B683" s="2"/>
      <c r="C683" s="2"/>
      <c r="D683" s="2"/>
      <c r="E683" s="2"/>
      <c r="F683" s="2"/>
      <c r="G683" s="2"/>
      <c r="H683" s="2"/>
      <c r="I683" s="2"/>
      <c r="J683" s="2"/>
      <c r="K683" s="2"/>
      <c r="L683" s="2"/>
      <c r="M683" s="2"/>
      <c r="N683" s="2"/>
      <c r="O683" s="3"/>
      <c r="P683" s="2"/>
      <c r="Q683" s="2"/>
      <c r="R683" s="2"/>
      <c r="S683" s="2"/>
      <c r="T683" s="4"/>
    </row>
    <row r="684" spans="1:20" x14ac:dyDescent="0.3">
      <c r="A684" s="5"/>
      <c r="B684" s="6"/>
      <c r="C684" s="6"/>
      <c r="D684" s="6"/>
      <c r="E684" s="6"/>
      <c r="F684" s="6"/>
      <c r="G684" s="6"/>
      <c r="H684" s="6"/>
      <c r="I684" s="6"/>
      <c r="J684" s="6"/>
      <c r="K684" s="6"/>
      <c r="L684" s="6"/>
      <c r="M684" s="6"/>
      <c r="N684" s="6"/>
      <c r="O684" s="7"/>
      <c r="P684" s="6"/>
      <c r="Q684" s="6"/>
      <c r="R684" s="6"/>
      <c r="S684" s="6"/>
      <c r="T684" s="8"/>
    </row>
    <row r="685" spans="1:20" x14ac:dyDescent="0.3">
      <c r="A685" s="1"/>
      <c r="B685" s="2"/>
      <c r="C685" s="2"/>
      <c r="D685" s="2"/>
      <c r="E685" s="2"/>
      <c r="F685" s="2"/>
      <c r="G685" s="2"/>
      <c r="H685" s="2"/>
      <c r="I685" s="2"/>
      <c r="J685" s="2"/>
      <c r="K685" s="2"/>
      <c r="L685" s="2"/>
      <c r="M685" s="2"/>
      <c r="N685" s="2"/>
      <c r="O685" s="2"/>
      <c r="P685" s="2"/>
      <c r="Q685" s="2"/>
      <c r="R685" s="2"/>
      <c r="S685" s="2"/>
      <c r="T685" s="4"/>
    </row>
    <row r="686" spans="1:20" x14ac:dyDescent="0.3">
      <c r="A686" s="5"/>
      <c r="B686" s="6"/>
      <c r="C686" s="6"/>
      <c r="D686" s="6"/>
      <c r="E686" s="6"/>
      <c r="F686" s="6"/>
      <c r="G686" s="6"/>
      <c r="H686" s="6"/>
      <c r="I686" s="6"/>
      <c r="J686" s="6"/>
      <c r="K686" s="6"/>
      <c r="L686" s="6"/>
      <c r="M686" s="6"/>
      <c r="N686" s="6"/>
      <c r="O686" s="6"/>
      <c r="P686" s="6"/>
      <c r="Q686" s="6"/>
      <c r="R686" s="6"/>
      <c r="S686" s="6"/>
      <c r="T686" s="8"/>
    </row>
    <row r="687" spans="1:20" x14ac:dyDescent="0.3">
      <c r="A687" s="1"/>
      <c r="B687" s="2"/>
      <c r="C687" s="2"/>
      <c r="D687" s="2"/>
      <c r="E687" s="2"/>
      <c r="F687" s="2"/>
      <c r="G687" s="2"/>
      <c r="H687" s="2"/>
      <c r="I687" s="2"/>
      <c r="J687" s="2"/>
      <c r="K687" s="2"/>
      <c r="L687" s="2"/>
      <c r="M687" s="2"/>
      <c r="N687" s="2"/>
      <c r="O687" s="2"/>
      <c r="P687" s="2"/>
      <c r="Q687" s="2"/>
      <c r="R687" s="2"/>
      <c r="S687" s="2"/>
      <c r="T687" s="4"/>
    </row>
    <row r="688" spans="1:20" x14ac:dyDescent="0.3">
      <c r="A688" s="5"/>
      <c r="B688" s="6"/>
      <c r="C688" s="6"/>
      <c r="D688" s="6"/>
      <c r="E688" s="6"/>
      <c r="F688" s="6"/>
      <c r="G688" s="6"/>
      <c r="H688" s="6"/>
      <c r="I688" s="6"/>
      <c r="J688" s="6"/>
      <c r="K688" s="6"/>
      <c r="L688" s="6"/>
      <c r="M688" s="6"/>
      <c r="N688" s="6"/>
      <c r="O688" s="6"/>
      <c r="P688" s="6"/>
      <c r="Q688" s="6"/>
      <c r="R688" s="6"/>
      <c r="S688" s="6"/>
      <c r="T688" s="8"/>
    </row>
    <row r="689" spans="1:20" x14ac:dyDescent="0.3">
      <c r="A689" s="1"/>
      <c r="B689" s="2"/>
      <c r="C689" s="2"/>
      <c r="D689" s="2"/>
      <c r="E689" s="2"/>
      <c r="F689" s="2"/>
      <c r="G689" s="2"/>
      <c r="H689" s="2"/>
      <c r="I689" s="2"/>
      <c r="J689" s="2"/>
      <c r="K689" s="2"/>
      <c r="L689" s="2"/>
      <c r="M689" s="2"/>
      <c r="N689" s="2"/>
      <c r="O689" s="2"/>
      <c r="P689" s="2"/>
      <c r="Q689" s="2"/>
      <c r="R689" s="2"/>
      <c r="S689" s="2"/>
      <c r="T689" s="4"/>
    </row>
    <row r="690" spans="1:20" x14ac:dyDescent="0.3">
      <c r="A690" s="5"/>
      <c r="B690" s="6"/>
      <c r="C690" s="6"/>
      <c r="D690" s="6"/>
      <c r="E690" s="6"/>
      <c r="F690" s="6"/>
      <c r="G690" s="6"/>
      <c r="H690" s="6"/>
      <c r="I690" s="6"/>
      <c r="J690" s="6"/>
      <c r="K690" s="6"/>
      <c r="L690" s="6"/>
      <c r="M690" s="6"/>
      <c r="N690" s="6"/>
      <c r="O690" s="7"/>
      <c r="P690" s="6"/>
      <c r="Q690" s="6"/>
      <c r="R690" s="6"/>
      <c r="S690" s="6"/>
      <c r="T690" s="8"/>
    </row>
    <row r="691" spans="1:20" x14ac:dyDescent="0.3">
      <c r="A691" s="1"/>
      <c r="B691" s="2"/>
      <c r="C691" s="2"/>
      <c r="D691" s="2"/>
      <c r="E691" s="2"/>
      <c r="F691" s="2"/>
      <c r="G691" s="2"/>
      <c r="H691" s="2"/>
      <c r="I691" s="2"/>
      <c r="J691" s="2"/>
      <c r="K691" s="2"/>
      <c r="L691" s="2"/>
      <c r="M691" s="2"/>
      <c r="N691" s="2"/>
      <c r="O691" s="2"/>
      <c r="P691" s="2"/>
      <c r="Q691" s="2"/>
      <c r="R691" s="2"/>
      <c r="S691" s="2"/>
      <c r="T691" s="4"/>
    </row>
    <row r="692" spans="1:20" x14ac:dyDescent="0.3">
      <c r="A692" s="5"/>
      <c r="B692" s="6"/>
      <c r="C692" s="6"/>
      <c r="D692" s="6"/>
      <c r="E692" s="6"/>
      <c r="F692" s="6"/>
      <c r="G692" s="6"/>
      <c r="H692" s="6"/>
      <c r="I692" s="6"/>
      <c r="J692" s="6"/>
      <c r="K692" s="6"/>
      <c r="L692" s="6"/>
      <c r="M692" s="6"/>
      <c r="N692" s="6"/>
      <c r="O692" s="7"/>
      <c r="P692" s="6"/>
      <c r="Q692" s="6"/>
      <c r="R692" s="6"/>
      <c r="S692" s="6"/>
      <c r="T692" s="8"/>
    </row>
    <row r="693" spans="1:20" x14ac:dyDescent="0.3">
      <c r="A693" s="1"/>
      <c r="B693" s="2"/>
      <c r="C693" s="2"/>
      <c r="D693" s="2"/>
      <c r="E693" s="2"/>
      <c r="F693" s="2"/>
      <c r="G693" s="2"/>
      <c r="H693" s="2"/>
      <c r="I693" s="2"/>
      <c r="J693" s="2"/>
      <c r="K693" s="2"/>
      <c r="L693" s="2"/>
      <c r="M693" s="2"/>
      <c r="N693" s="2"/>
      <c r="O693" s="2"/>
      <c r="P693" s="2"/>
      <c r="Q693" s="2"/>
      <c r="R693" s="2"/>
      <c r="S693" s="2"/>
      <c r="T693" s="4"/>
    </row>
    <row r="694" spans="1:20" x14ac:dyDescent="0.3">
      <c r="A694" s="5"/>
      <c r="B694" s="6"/>
      <c r="C694" s="6"/>
      <c r="D694" s="6"/>
      <c r="E694" s="6"/>
      <c r="F694" s="6"/>
      <c r="G694" s="6"/>
      <c r="H694" s="6"/>
      <c r="I694" s="6"/>
      <c r="J694" s="6"/>
      <c r="K694" s="6"/>
      <c r="L694" s="6"/>
      <c r="M694" s="6"/>
      <c r="N694" s="6"/>
      <c r="O694" s="7"/>
      <c r="P694" s="6"/>
      <c r="Q694" s="6"/>
      <c r="R694" s="6"/>
      <c r="S694" s="6"/>
      <c r="T694" s="8"/>
    </row>
    <row r="695" spans="1:20" x14ac:dyDescent="0.3">
      <c r="A695" s="1"/>
      <c r="B695" s="2"/>
      <c r="C695" s="2"/>
      <c r="D695" s="2"/>
      <c r="E695" s="2"/>
      <c r="F695" s="2"/>
      <c r="G695" s="2"/>
      <c r="H695" s="2"/>
      <c r="I695" s="2"/>
      <c r="J695" s="2"/>
      <c r="K695" s="2"/>
      <c r="L695" s="2"/>
      <c r="M695" s="2"/>
      <c r="N695" s="2"/>
      <c r="O695" s="2"/>
      <c r="P695" s="2"/>
      <c r="Q695" s="2"/>
      <c r="R695" s="2"/>
      <c r="S695" s="2"/>
      <c r="T695" s="4"/>
    </row>
    <row r="696" spans="1:20" x14ac:dyDescent="0.3">
      <c r="A696" s="5"/>
      <c r="B696" s="6"/>
      <c r="C696" s="6"/>
      <c r="D696" s="6"/>
      <c r="E696" s="6"/>
      <c r="F696" s="6"/>
      <c r="G696" s="6"/>
      <c r="H696" s="6"/>
      <c r="I696" s="6"/>
      <c r="J696" s="6"/>
      <c r="K696" s="6"/>
      <c r="L696" s="6"/>
      <c r="M696" s="6"/>
      <c r="N696" s="6"/>
      <c r="O696" s="6"/>
      <c r="P696" s="6"/>
      <c r="Q696" s="6"/>
      <c r="R696" s="6"/>
      <c r="S696" s="6"/>
      <c r="T696" s="8"/>
    </row>
    <row r="697" spans="1:20" x14ac:dyDescent="0.3">
      <c r="A697" s="1"/>
      <c r="B697" s="2"/>
      <c r="C697" s="2"/>
      <c r="D697" s="2"/>
      <c r="E697" s="2"/>
      <c r="F697" s="2"/>
      <c r="G697" s="2"/>
      <c r="H697" s="2"/>
      <c r="I697" s="2"/>
      <c r="J697" s="2"/>
      <c r="K697" s="2"/>
      <c r="L697" s="2"/>
      <c r="M697" s="2"/>
      <c r="N697" s="2"/>
      <c r="O697" s="2"/>
      <c r="P697" s="2"/>
      <c r="Q697" s="2"/>
      <c r="R697" s="2"/>
      <c r="S697" s="2"/>
      <c r="T697" s="4"/>
    </row>
    <row r="698" spans="1:20" x14ac:dyDescent="0.3">
      <c r="A698" s="5"/>
      <c r="B698" s="6"/>
      <c r="C698" s="6"/>
      <c r="D698" s="6"/>
      <c r="E698" s="6"/>
      <c r="F698" s="6"/>
      <c r="G698" s="6"/>
      <c r="H698" s="6"/>
      <c r="I698" s="6"/>
      <c r="J698" s="6"/>
      <c r="K698" s="6"/>
      <c r="L698" s="6"/>
      <c r="M698" s="6"/>
      <c r="N698" s="6"/>
      <c r="O698" s="7"/>
      <c r="P698" s="6"/>
      <c r="Q698" s="6"/>
      <c r="R698" s="6"/>
      <c r="S698" s="6"/>
      <c r="T698" s="8"/>
    </row>
    <row r="699" spans="1:20" x14ac:dyDescent="0.3">
      <c r="A699" s="1"/>
      <c r="B699" s="2"/>
      <c r="C699" s="2"/>
      <c r="D699" s="2"/>
      <c r="E699" s="2"/>
      <c r="F699" s="2"/>
      <c r="G699" s="2"/>
      <c r="H699" s="2"/>
      <c r="I699" s="2"/>
      <c r="J699" s="2"/>
      <c r="K699" s="2"/>
      <c r="L699" s="2"/>
      <c r="M699" s="2"/>
      <c r="N699" s="2"/>
      <c r="O699" s="3"/>
      <c r="P699" s="2"/>
      <c r="Q699" s="2"/>
      <c r="R699" s="2"/>
      <c r="S699" s="2"/>
      <c r="T699" s="4"/>
    </row>
    <row r="700" spans="1:20" x14ac:dyDescent="0.3">
      <c r="A700" s="5"/>
      <c r="B700" s="6"/>
      <c r="C700" s="6"/>
      <c r="D700" s="6"/>
      <c r="E700" s="6"/>
      <c r="F700" s="6"/>
      <c r="G700" s="6"/>
      <c r="H700" s="6"/>
      <c r="I700" s="6"/>
      <c r="J700" s="6"/>
      <c r="K700" s="6"/>
      <c r="L700" s="6"/>
      <c r="M700" s="6"/>
      <c r="N700" s="6"/>
      <c r="O700" s="6"/>
      <c r="P700" s="6"/>
      <c r="Q700" s="6"/>
      <c r="R700" s="6"/>
      <c r="S700" s="6"/>
      <c r="T700" s="8"/>
    </row>
    <row r="701" spans="1:20" x14ac:dyDescent="0.3">
      <c r="A701" s="1"/>
      <c r="B701" s="2"/>
      <c r="C701" s="2"/>
      <c r="D701" s="2"/>
      <c r="E701" s="2"/>
      <c r="F701" s="2"/>
      <c r="G701" s="2"/>
      <c r="H701" s="2"/>
      <c r="I701" s="2"/>
      <c r="J701" s="2"/>
      <c r="K701" s="2"/>
      <c r="L701" s="2"/>
      <c r="M701" s="2"/>
      <c r="N701" s="2"/>
      <c r="O701" s="3"/>
      <c r="P701" s="2"/>
      <c r="Q701" s="2"/>
      <c r="R701" s="2"/>
      <c r="S701" s="2"/>
      <c r="T701" s="4"/>
    </row>
    <row r="702" spans="1:20" x14ac:dyDescent="0.3">
      <c r="A702" s="5"/>
      <c r="B702" s="6"/>
      <c r="C702" s="6"/>
      <c r="D702" s="6"/>
      <c r="E702" s="6"/>
      <c r="F702" s="6"/>
      <c r="G702" s="6"/>
      <c r="H702" s="6"/>
      <c r="I702" s="6"/>
      <c r="J702" s="6"/>
      <c r="K702" s="6"/>
      <c r="L702" s="6"/>
      <c r="M702" s="6"/>
      <c r="N702" s="6"/>
      <c r="O702" s="6"/>
      <c r="P702" s="6"/>
      <c r="Q702" s="6"/>
      <c r="R702" s="6"/>
      <c r="S702" s="6"/>
      <c r="T702" s="8"/>
    </row>
    <row r="703" spans="1:20" x14ac:dyDescent="0.3">
      <c r="A703" s="1"/>
      <c r="B703" s="2"/>
      <c r="C703" s="2"/>
      <c r="D703" s="2"/>
      <c r="E703" s="2"/>
      <c r="F703" s="2"/>
      <c r="G703" s="2"/>
      <c r="H703" s="2"/>
      <c r="I703" s="2"/>
      <c r="J703" s="2"/>
      <c r="K703" s="2"/>
      <c r="L703" s="2"/>
      <c r="M703" s="2"/>
      <c r="N703" s="2"/>
      <c r="O703" s="2"/>
      <c r="P703" s="2"/>
      <c r="Q703" s="2"/>
      <c r="R703" s="2"/>
      <c r="S703" s="2"/>
      <c r="T703" s="4"/>
    </row>
    <row r="704" spans="1:20" x14ac:dyDescent="0.3">
      <c r="A704" s="5"/>
      <c r="B704" s="6"/>
      <c r="C704" s="6"/>
      <c r="D704" s="6"/>
      <c r="E704" s="6"/>
      <c r="F704" s="6"/>
      <c r="G704" s="6"/>
      <c r="H704" s="6"/>
      <c r="I704" s="6"/>
      <c r="J704" s="6"/>
      <c r="K704" s="6"/>
      <c r="L704" s="6"/>
      <c r="M704" s="6"/>
      <c r="N704" s="6"/>
      <c r="O704" s="6"/>
      <c r="P704" s="6"/>
      <c r="Q704" s="6"/>
      <c r="R704" s="6"/>
      <c r="S704" s="6"/>
      <c r="T704" s="8"/>
    </row>
    <row r="705" spans="1:20" x14ac:dyDescent="0.3">
      <c r="A705" s="1"/>
      <c r="B705" s="2"/>
      <c r="C705" s="2"/>
      <c r="D705" s="2"/>
      <c r="E705" s="2"/>
      <c r="F705" s="2"/>
      <c r="G705" s="2"/>
      <c r="H705" s="2"/>
      <c r="I705" s="2"/>
      <c r="J705" s="2"/>
      <c r="K705" s="2"/>
      <c r="L705" s="2"/>
      <c r="M705" s="2"/>
      <c r="N705" s="2"/>
      <c r="O705" s="2"/>
      <c r="P705" s="2"/>
      <c r="Q705" s="2"/>
      <c r="R705" s="2"/>
      <c r="S705" s="2"/>
      <c r="T705" s="4"/>
    </row>
    <row r="706" spans="1:20" x14ac:dyDescent="0.3">
      <c r="A706" s="5"/>
      <c r="B706" s="6"/>
      <c r="C706" s="6"/>
      <c r="D706" s="6"/>
      <c r="E706" s="6"/>
      <c r="F706" s="6"/>
      <c r="G706" s="6"/>
      <c r="H706" s="6"/>
      <c r="I706" s="6"/>
      <c r="J706" s="6"/>
      <c r="K706" s="6"/>
      <c r="L706" s="6"/>
      <c r="M706" s="6"/>
      <c r="N706" s="6"/>
      <c r="O706" s="7"/>
      <c r="P706" s="6"/>
      <c r="Q706" s="6"/>
      <c r="R706" s="6"/>
      <c r="S706" s="6"/>
      <c r="T706" s="8"/>
    </row>
    <row r="707" spans="1:20" x14ac:dyDescent="0.3">
      <c r="A707" s="1"/>
      <c r="B707" s="2"/>
      <c r="C707" s="2"/>
      <c r="D707" s="2"/>
      <c r="E707" s="2"/>
      <c r="F707" s="2"/>
      <c r="G707" s="2"/>
      <c r="H707" s="2"/>
      <c r="I707" s="2"/>
      <c r="J707" s="2"/>
      <c r="K707" s="2"/>
      <c r="L707" s="2"/>
      <c r="M707" s="2"/>
      <c r="N707" s="2"/>
      <c r="O707" s="2"/>
      <c r="P707" s="2"/>
      <c r="Q707" s="2"/>
      <c r="R707" s="2"/>
      <c r="S707" s="2"/>
      <c r="T707" s="4"/>
    </row>
    <row r="708" spans="1:20" x14ac:dyDescent="0.3">
      <c r="A708" s="5"/>
      <c r="B708" s="6"/>
      <c r="C708" s="6"/>
      <c r="D708" s="6"/>
      <c r="E708" s="6"/>
      <c r="F708" s="6"/>
      <c r="G708" s="6"/>
      <c r="H708" s="6"/>
      <c r="I708" s="6"/>
      <c r="J708" s="6"/>
      <c r="K708" s="6"/>
      <c r="L708" s="6"/>
      <c r="M708" s="6"/>
      <c r="N708" s="6"/>
      <c r="O708" s="7"/>
      <c r="P708" s="6"/>
      <c r="Q708" s="6"/>
      <c r="R708" s="6"/>
      <c r="S708" s="6"/>
      <c r="T708" s="8"/>
    </row>
    <row r="709" spans="1:20" x14ac:dyDescent="0.3">
      <c r="A709" s="1"/>
      <c r="B709" s="2"/>
      <c r="C709" s="2"/>
      <c r="D709" s="2"/>
      <c r="E709" s="2"/>
      <c r="F709" s="2"/>
      <c r="G709" s="2"/>
      <c r="H709" s="2"/>
      <c r="I709" s="2"/>
      <c r="J709" s="2"/>
      <c r="K709" s="2"/>
      <c r="L709" s="2"/>
      <c r="M709" s="2"/>
      <c r="N709" s="2"/>
      <c r="O709" s="2"/>
      <c r="P709" s="2"/>
      <c r="Q709" s="2"/>
      <c r="R709" s="2"/>
      <c r="S709" s="2"/>
      <c r="T709" s="4"/>
    </row>
    <row r="710" spans="1:20" x14ac:dyDescent="0.3">
      <c r="A710" s="5"/>
      <c r="B710" s="6"/>
      <c r="C710" s="6"/>
      <c r="D710" s="6"/>
      <c r="E710" s="6"/>
      <c r="F710" s="6"/>
      <c r="G710" s="6"/>
      <c r="H710" s="6"/>
      <c r="I710" s="6"/>
      <c r="J710" s="6"/>
      <c r="K710" s="6"/>
      <c r="L710" s="6"/>
      <c r="M710" s="6"/>
      <c r="N710" s="6"/>
      <c r="O710" s="6"/>
      <c r="P710" s="6"/>
      <c r="Q710" s="6"/>
      <c r="R710" s="6"/>
      <c r="S710" s="6"/>
      <c r="T710" s="8"/>
    </row>
    <row r="711" spans="1:20" x14ac:dyDescent="0.3">
      <c r="A711" s="1"/>
      <c r="B711" s="2"/>
      <c r="C711" s="2"/>
      <c r="D711" s="2"/>
      <c r="E711" s="2"/>
      <c r="F711" s="2"/>
      <c r="G711" s="2"/>
      <c r="H711" s="2"/>
      <c r="I711" s="2"/>
      <c r="J711" s="2"/>
      <c r="K711" s="2"/>
      <c r="L711" s="2"/>
      <c r="M711" s="2"/>
      <c r="N711" s="2"/>
      <c r="O711" s="2"/>
      <c r="P711" s="2"/>
      <c r="Q711" s="2"/>
      <c r="R711" s="2"/>
      <c r="S711" s="2"/>
      <c r="T711" s="4"/>
    </row>
    <row r="712" spans="1:20" x14ac:dyDescent="0.3">
      <c r="A712" s="5"/>
      <c r="B712" s="6"/>
      <c r="C712" s="6"/>
      <c r="D712" s="6"/>
      <c r="E712" s="6"/>
      <c r="F712" s="6"/>
      <c r="G712" s="6"/>
      <c r="H712" s="6"/>
      <c r="I712" s="6"/>
      <c r="J712" s="6"/>
      <c r="K712" s="6"/>
      <c r="L712" s="6"/>
      <c r="M712" s="6"/>
      <c r="N712" s="6"/>
      <c r="O712" s="7"/>
      <c r="P712" s="6"/>
      <c r="Q712" s="6"/>
      <c r="R712" s="6"/>
      <c r="S712" s="6"/>
      <c r="T712" s="8"/>
    </row>
    <row r="713" spans="1:20" x14ac:dyDescent="0.3">
      <c r="A713" s="1"/>
      <c r="B713" s="2"/>
      <c r="C713" s="2"/>
      <c r="D713" s="2"/>
      <c r="E713" s="2"/>
      <c r="F713" s="2"/>
      <c r="G713" s="2"/>
      <c r="H713" s="2"/>
      <c r="I713" s="2"/>
      <c r="J713" s="2"/>
      <c r="K713" s="2"/>
      <c r="L713" s="2"/>
      <c r="M713" s="2"/>
      <c r="N713" s="2"/>
      <c r="O713" s="3"/>
      <c r="P713" s="2"/>
      <c r="Q713" s="2"/>
      <c r="R713" s="2"/>
      <c r="S713" s="2"/>
      <c r="T713" s="4"/>
    </row>
    <row r="714" spans="1:20" x14ac:dyDescent="0.3">
      <c r="A714" s="5"/>
      <c r="B714" s="6"/>
      <c r="C714" s="6"/>
      <c r="D714" s="6"/>
      <c r="E714" s="6"/>
      <c r="F714" s="6"/>
      <c r="G714" s="6"/>
      <c r="H714" s="6"/>
      <c r="I714" s="6"/>
      <c r="J714" s="6"/>
      <c r="K714" s="6"/>
      <c r="L714" s="6"/>
      <c r="M714" s="6"/>
      <c r="N714" s="6"/>
      <c r="O714" s="6"/>
      <c r="P714" s="6"/>
      <c r="Q714" s="6"/>
      <c r="R714" s="6"/>
      <c r="S714" s="6"/>
      <c r="T714" s="8"/>
    </row>
    <row r="715" spans="1:20" x14ac:dyDescent="0.3">
      <c r="A715" s="1"/>
      <c r="B715" s="2"/>
      <c r="C715" s="2"/>
      <c r="D715" s="2"/>
      <c r="E715" s="2"/>
      <c r="F715" s="2"/>
      <c r="G715" s="2"/>
      <c r="H715" s="2"/>
      <c r="I715" s="2"/>
      <c r="J715" s="2"/>
      <c r="K715" s="2"/>
      <c r="L715" s="2"/>
      <c r="M715" s="2"/>
      <c r="N715" s="2"/>
      <c r="O715" s="3"/>
      <c r="P715" s="2"/>
      <c r="Q715" s="2"/>
      <c r="R715" s="2"/>
      <c r="S715" s="2"/>
      <c r="T715" s="4"/>
    </row>
    <row r="716" spans="1:20" x14ac:dyDescent="0.3">
      <c r="A716" s="5"/>
      <c r="B716" s="6"/>
      <c r="C716" s="6"/>
      <c r="D716" s="6"/>
      <c r="E716" s="6"/>
      <c r="F716" s="6"/>
      <c r="G716" s="6"/>
      <c r="H716" s="6"/>
      <c r="I716" s="6"/>
      <c r="J716" s="6"/>
      <c r="K716" s="6"/>
      <c r="L716" s="6"/>
      <c r="M716" s="6"/>
      <c r="N716" s="6"/>
      <c r="O716" s="6"/>
      <c r="P716" s="6"/>
      <c r="Q716" s="6"/>
      <c r="R716" s="6"/>
      <c r="S716" s="6"/>
      <c r="T716" s="8"/>
    </row>
    <row r="717" spans="1:20" x14ac:dyDescent="0.3">
      <c r="A717" s="1"/>
      <c r="B717" s="2"/>
      <c r="C717" s="2"/>
      <c r="D717" s="2"/>
      <c r="E717" s="2"/>
      <c r="F717" s="2"/>
      <c r="G717" s="2"/>
      <c r="H717" s="2"/>
      <c r="I717" s="2"/>
      <c r="J717" s="2"/>
      <c r="K717" s="2"/>
      <c r="L717" s="2"/>
      <c r="M717" s="2"/>
      <c r="N717" s="2"/>
      <c r="O717" s="2"/>
      <c r="P717" s="2"/>
      <c r="Q717" s="2"/>
      <c r="R717" s="2"/>
      <c r="S717" s="2"/>
      <c r="T717" s="4"/>
    </row>
    <row r="718" spans="1:20" x14ac:dyDescent="0.3">
      <c r="A718" s="5"/>
      <c r="B718" s="6"/>
      <c r="C718" s="6"/>
      <c r="D718" s="6"/>
      <c r="E718" s="6"/>
      <c r="F718" s="6"/>
      <c r="G718" s="6"/>
      <c r="H718" s="6"/>
      <c r="I718" s="6"/>
      <c r="J718" s="6"/>
      <c r="K718" s="6"/>
      <c r="L718" s="6"/>
      <c r="M718" s="6"/>
      <c r="N718" s="6"/>
      <c r="O718" s="6"/>
      <c r="P718" s="6"/>
      <c r="Q718" s="6"/>
      <c r="R718" s="6"/>
      <c r="S718" s="6"/>
      <c r="T718" s="8"/>
    </row>
    <row r="719" spans="1:20" x14ac:dyDescent="0.3">
      <c r="A719" s="1"/>
      <c r="B719" s="2"/>
      <c r="C719" s="2"/>
      <c r="D719" s="2"/>
      <c r="E719" s="2"/>
      <c r="F719" s="2"/>
      <c r="G719" s="2"/>
      <c r="H719" s="2"/>
      <c r="I719" s="2"/>
      <c r="J719" s="2"/>
      <c r="K719" s="2"/>
      <c r="L719" s="2"/>
      <c r="M719" s="2"/>
      <c r="N719" s="2"/>
      <c r="O719" s="2"/>
      <c r="P719" s="2"/>
      <c r="Q719" s="2"/>
      <c r="R719" s="2"/>
      <c r="S719" s="2"/>
      <c r="T719" s="4"/>
    </row>
    <row r="720" spans="1:20" x14ac:dyDescent="0.3">
      <c r="A720" s="5"/>
      <c r="B720" s="6"/>
      <c r="C720" s="6"/>
      <c r="D720" s="6"/>
      <c r="E720" s="6"/>
      <c r="F720" s="6"/>
      <c r="G720" s="6"/>
      <c r="H720" s="6"/>
      <c r="I720" s="6"/>
      <c r="J720" s="6"/>
      <c r="K720" s="6"/>
      <c r="L720" s="6"/>
      <c r="M720" s="6"/>
      <c r="N720" s="6"/>
      <c r="O720" s="6"/>
      <c r="P720" s="6"/>
      <c r="Q720" s="6"/>
      <c r="R720" s="6"/>
      <c r="S720" s="6"/>
      <c r="T720" s="8"/>
    </row>
    <row r="721" spans="1:20" x14ac:dyDescent="0.3">
      <c r="A721" s="1"/>
      <c r="B721" s="2"/>
      <c r="C721" s="2"/>
      <c r="D721" s="2"/>
      <c r="E721" s="2"/>
      <c r="F721" s="2"/>
      <c r="G721" s="2"/>
      <c r="H721" s="2"/>
      <c r="I721" s="2"/>
      <c r="J721" s="2"/>
      <c r="K721" s="2"/>
      <c r="L721" s="2"/>
      <c r="M721" s="2"/>
      <c r="N721" s="2"/>
      <c r="O721" s="2"/>
      <c r="P721" s="2"/>
      <c r="Q721" s="2"/>
      <c r="R721" s="2"/>
      <c r="S721" s="2"/>
      <c r="T721" s="4"/>
    </row>
    <row r="722" spans="1:20" x14ac:dyDescent="0.3">
      <c r="A722" s="5"/>
      <c r="B722" s="6"/>
      <c r="C722" s="6"/>
      <c r="D722" s="6"/>
      <c r="E722" s="6"/>
      <c r="F722" s="6"/>
      <c r="G722" s="6"/>
      <c r="H722" s="6"/>
      <c r="I722" s="6"/>
      <c r="J722" s="6"/>
      <c r="K722" s="6"/>
      <c r="L722" s="6"/>
      <c r="M722" s="6"/>
      <c r="N722" s="6"/>
      <c r="O722" s="7"/>
      <c r="P722" s="6"/>
      <c r="Q722" s="6"/>
      <c r="R722" s="6"/>
      <c r="S722" s="6"/>
      <c r="T722" s="8"/>
    </row>
    <row r="723" spans="1:20" x14ac:dyDescent="0.3">
      <c r="A723" s="1"/>
      <c r="B723" s="2"/>
      <c r="C723" s="2"/>
      <c r="D723" s="2"/>
      <c r="E723" s="2"/>
      <c r="F723" s="2"/>
      <c r="G723" s="2"/>
      <c r="H723" s="2"/>
      <c r="I723" s="2"/>
      <c r="J723" s="2"/>
      <c r="K723" s="2"/>
      <c r="L723" s="2"/>
      <c r="M723" s="2"/>
      <c r="N723" s="2"/>
      <c r="O723" s="2"/>
      <c r="P723" s="2"/>
      <c r="Q723" s="2"/>
      <c r="R723" s="2"/>
      <c r="S723" s="2"/>
      <c r="T723" s="4"/>
    </row>
    <row r="724" spans="1:20" x14ac:dyDescent="0.3">
      <c r="A724" s="5"/>
      <c r="B724" s="6"/>
      <c r="C724" s="6"/>
      <c r="D724" s="6"/>
      <c r="E724" s="6"/>
      <c r="F724" s="6"/>
      <c r="G724" s="6"/>
      <c r="H724" s="6"/>
      <c r="I724" s="6"/>
      <c r="J724" s="6"/>
      <c r="K724" s="6"/>
      <c r="L724" s="6"/>
      <c r="M724" s="6"/>
      <c r="N724" s="6"/>
      <c r="O724" s="7"/>
      <c r="P724" s="6"/>
      <c r="Q724" s="6"/>
      <c r="R724" s="6"/>
      <c r="S724" s="6"/>
      <c r="T724" s="8"/>
    </row>
    <row r="725" spans="1:20" x14ac:dyDescent="0.3">
      <c r="A725" s="1"/>
      <c r="B725" s="2"/>
      <c r="C725" s="2"/>
      <c r="D725" s="2"/>
      <c r="E725" s="2"/>
      <c r="F725" s="2"/>
      <c r="G725" s="2"/>
      <c r="H725" s="2"/>
      <c r="I725" s="2"/>
      <c r="J725" s="2"/>
      <c r="K725" s="2"/>
      <c r="L725" s="2"/>
      <c r="M725" s="2"/>
      <c r="N725" s="2"/>
      <c r="O725" s="2"/>
      <c r="P725" s="2"/>
      <c r="Q725" s="2"/>
      <c r="R725" s="2"/>
      <c r="S725" s="2"/>
      <c r="T725" s="4"/>
    </row>
    <row r="726" spans="1:20" x14ac:dyDescent="0.3">
      <c r="A726" s="5"/>
      <c r="B726" s="6"/>
      <c r="C726" s="6"/>
      <c r="D726" s="6"/>
      <c r="E726" s="6"/>
      <c r="F726" s="6"/>
      <c r="G726" s="6"/>
      <c r="H726" s="6"/>
      <c r="I726" s="6"/>
      <c r="J726" s="6"/>
      <c r="K726" s="6"/>
      <c r="L726" s="6"/>
      <c r="M726" s="6"/>
      <c r="N726" s="6"/>
      <c r="O726" s="6"/>
      <c r="P726" s="6"/>
      <c r="Q726" s="6"/>
      <c r="R726" s="6"/>
      <c r="S726" s="6"/>
      <c r="T726" s="8"/>
    </row>
    <row r="727" spans="1:20" x14ac:dyDescent="0.3">
      <c r="A727" s="1"/>
      <c r="B727" s="2"/>
      <c r="C727" s="2"/>
      <c r="D727" s="2"/>
      <c r="E727" s="2"/>
      <c r="F727" s="2"/>
      <c r="G727" s="2"/>
      <c r="H727" s="2"/>
      <c r="I727" s="2"/>
      <c r="J727" s="2"/>
      <c r="K727" s="2"/>
      <c r="L727" s="2"/>
      <c r="M727" s="2"/>
      <c r="N727" s="2"/>
      <c r="O727" s="2"/>
      <c r="P727" s="2"/>
      <c r="Q727" s="2"/>
      <c r="R727" s="2"/>
      <c r="S727" s="2"/>
      <c r="T727" s="4"/>
    </row>
    <row r="728" spans="1:20" x14ac:dyDescent="0.3">
      <c r="A728" s="5"/>
      <c r="B728" s="6"/>
      <c r="C728" s="6"/>
      <c r="D728" s="6"/>
      <c r="E728" s="6"/>
      <c r="F728" s="6"/>
      <c r="G728" s="6"/>
      <c r="H728" s="6"/>
      <c r="I728" s="6"/>
      <c r="J728" s="6"/>
      <c r="K728" s="6"/>
      <c r="L728" s="6"/>
      <c r="M728" s="6"/>
      <c r="N728" s="6"/>
      <c r="O728" s="6"/>
      <c r="P728" s="6"/>
      <c r="Q728" s="6"/>
      <c r="R728" s="6"/>
      <c r="S728" s="6"/>
      <c r="T728" s="8"/>
    </row>
    <row r="729" spans="1:20" x14ac:dyDescent="0.3">
      <c r="A729" s="1"/>
      <c r="B729" s="2"/>
      <c r="C729" s="2"/>
      <c r="D729" s="2"/>
      <c r="E729" s="2"/>
      <c r="F729" s="2"/>
      <c r="G729" s="2"/>
      <c r="H729" s="2"/>
      <c r="I729" s="2"/>
      <c r="J729" s="2"/>
      <c r="K729" s="2"/>
      <c r="L729" s="2"/>
      <c r="M729" s="2"/>
      <c r="N729" s="2"/>
      <c r="O729" s="2"/>
      <c r="P729" s="2"/>
      <c r="Q729" s="2"/>
      <c r="R729" s="2"/>
      <c r="S729" s="2"/>
      <c r="T729" s="4"/>
    </row>
    <row r="730" spans="1:20" x14ac:dyDescent="0.3">
      <c r="A730" s="5"/>
      <c r="B730" s="6"/>
      <c r="C730" s="6"/>
      <c r="D730" s="6"/>
      <c r="E730" s="6"/>
      <c r="F730" s="6"/>
      <c r="G730" s="6"/>
      <c r="H730" s="6"/>
      <c r="I730" s="6"/>
      <c r="J730" s="6"/>
      <c r="K730" s="6"/>
      <c r="L730" s="6"/>
      <c r="M730" s="6"/>
      <c r="N730" s="6"/>
      <c r="O730" s="7"/>
      <c r="P730" s="6"/>
      <c r="Q730" s="6"/>
      <c r="R730" s="6"/>
      <c r="S730" s="6"/>
      <c r="T730" s="8"/>
    </row>
    <row r="731" spans="1:20" x14ac:dyDescent="0.3">
      <c r="A731" s="1"/>
      <c r="B731" s="2"/>
      <c r="C731" s="2"/>
      <c r="D731" s="2"/>
      <c r="E731" s="2"/>
      <c r="F731" s="2"/>
      <c r="G731" s="2"/>
      <c r="H731" s="2"/>
      <c r="I731" s="2"/>
      <c r="J731" s="2"/>
      <c r="K731" s="2"/>
      <c r="L731" s="2"/>
      <c r="M731" s="2"/>
      <c r="N731" s="2"/>
      <c r="O731" s="2"/>
      <c r="P731" s="2"/>
      <c r="Q731" s="2"/>
      <c r="R731" s="2"/>
      <c r="S731" s="2"/>
      <c r="T731" s="4"/>
    </row>
    <row r="732" spans="1:20" x14ac:dyDescent="0.3">
      <c r="A732" s="5"/>
      <c r="B732" s="6"/>
      <c r="C732" s="6"/>
      <c r="D732" s="6"/>
      <c r="E732" s="6"/>
      <c r="F732" s="6"/>
      <c r="G732" s="6"/>
      <c r="H732" s="6"/>
      <c r="I732" s="6"/>
      <c r="J732" s="6"/>
      <c r="K732" s="6"/>
      <c r="L732" s="6"/>
      <c r="M732" s="6"/>
      <c r="N732" s="6"/>
      <c r="O732" s="6"/>
      <c r="P732" s="6"/>
      <c r="Q732" s="6"/>
      <c r="R732" s="6"/>
      <c r="S732" s="6"/>
      <c r="T732" s="8"/>
    </row>
    <row r="733" spans="1:20" x14ac:dyDescent="0.3">
      <c r="A733" s="1"/>
      <c r="B733" s="2"/>
      <c r="C733" s="2"/>
      <c r="D733" s="2"/>
      <c r="E733" s="2"/>
      <c r="F733" s="2"/>
      <c r="G733" s="2"/>
      <c r="H733" s="2"/>
      <c r="I733" s="2"/>
      <c r="J733" s="2"/>
      <c r="K733" s="2"/>
      <c r="L733" s="2"/>
      <c r="M733" s="2"/>
      <c r="N733" s="2"/>
      <c r="O733" s="2"/>
      <c r="P733" s="2"/>
      <c r="Q733" s="2"/>
      <c r="R733" s="2"/>
      <c r="S733" s="2"/>
      <c r="T733" s="4"/>
    </row>
    <row r="734" spans="1:20" x14ac:dyDescent="0.3">
      <c r="A734" s="5"/>
      <c r="B734" s="6"/>
      <c r="C734" s="6"/>
      <c r="D734" s="6"/>
      <c r="E734" s="6"/>
      <c r="F734" s="6"/>
      <c r="G734" s="6"/>
      <c r="H734" s="6"/>
      <c r="I734" s="6"/>
      <c r="J734" s="6"/>
      <c r="K734" s="6"/>
      <c r="L734" s="6"/>
      <c r="M734" s="6"/>
      <c r="N734" s="6"/>
      <c r="O734" s="7"/>
      <c r="P734" s="6"/>
      <c r="Q734" s="6"/>
      <c r="R734" s="6"/>
      <c r="S734" s="6"/>
      <c r="T734" s="8"/>
    </row>
    <row r="735" spans="1:20" x14ac:dyDescent="0.3">
      <c r="A735" s="1"/>
      <c r="B735" s="2"/>
      <c r="C735" s="2"/>
      <c r="D735" s="2"/>
      <c r="E735" s="2"/>
      <c r="F735" s="2"/>
      <c r="G735" s="2"/>
      <c r="H735" s="2"/>
      <c r="I735" s="2"/>
      <c r="J735" s="2"/>
      <c r="K735" s="2"/>
      <c r="L735" s="2"/>
      <c r="M735" s="2"/>
      <c r="N735" s="2"/>
      <c r="O735" s="3"/>
      <c r="P735" s="2"/>
      <c r="Q735" s="2"/>
      <c r="R735" s="2"/>
      <c r="S735" s="2"/>
      <c r="T735" s="4"/>
    </row>
    <row r="736" spans="1:20" x14ac:dyDescent="0.3">
      <c r="A736" s="5"/>
      <c r="B736" s="6"/>
      <c r="C736" s="6"/>
      <c r="D736" s="6"/>
      <c r="E736" s="6"/>
      <c r="F736" s="6"/>
      <c r="G736" s="6"/>
      <c r="H736" s="6"/>
      <c r="I736" s="6"/>
      <c r="J736" s="6"/>
      <c r="K736" s="6"/>
      <c r="L736" s="6"/>
      <c r="M736" s="6"/>
      <c r="N736" s="6"/>
      <c r="O736" s="6"/>
      <c r="P736" s="6"/>
      <c r="Q736" s="6"/>
      <c r="R736" s="6"/>
      <c r="S736" s="6"/>
      <c r="T736" s="8"/>
    </row>
    <row r="737" spans="1:20" x14ac:dyDescent="0.3">
      <c r="A737" s="1"/>
      <c r="B737" s="2"/>
      <c r="C737" s="2"/>
      <c r="D737" s="2"/>
      <c r="E737" s="2"/>
      <c r="F737" s="2"/>
      <c r="G737" s="2"/>
      <c r="H737" s="2"/>
      <c r="I737" s="2"/>
      <c r="J737" s="2"/>
      <c r="K737" s="2"/>
      <c r="L737" s="2"/>
      <c r="M737" s="2"/>
      <c r="N737" s="2"/>
      <c r="O737" s="3"/>
      <c r="P737" s="2"/>
      <c r="Q737" s="2"/>
      <c r="R737" s="2"/>
      <c r="S737" s="2"/>
      <c r="T737" s="4"/>
    </row>
    <row r="738" spans="1:20" x14ac:dyDescent="0.3">
      <c r="A738" s="5"/>
      <c r="B738" s="6"/>
      <c r="C738" s="6"/>
      <c r="D738" s="6"/>
      <c r="E738" s="6"/>
      <c r="F738" s="6"/>
      <c r="G738" s="6"/>
      <c r="H738" s="6"/>
      <c r="I738" s="6"/>
      <c r="J738" s="6"/>
      <c r="K738" s="6"/>
      <c r="L738" s="6"/>
      <c r="M738" s="6"/>
      <c r="N738" s="6"/>
      <c r="O738" s="7"/>
      <c r="P738" s="6"/>
      <c r="Q738" s="6"/>
      <c r="R738" s="6"/>
      <c r="S738" s="6"/>
      <c r="T738" s="8"/>
    </row>
    <row r="739" spans="1:20" x14ac:dyDescent="0.3">
      <c r="A739" s="1"/>
      <c r="B739" s="2"/>
      <c r="C739" s="2"/>
      <c r="D739" s="2"/>
      <c r="E739" s="2"/>
      <c r="F739" s="2"/>
      <c r="G739" s="2"/>
      <c r="H739" s="2"/>
      <c r="I739" s="2"/>
      <c r="J739" s="2"/>
      <c r="K739" s="2"/>
      <c r="L739" s="2"/>
      <c r="M739" s="2"/>
      <c r="N739" s="2"/>
      <c r="O739" s="3"/>
      <c r="P739" s="2"/>
      <c r="Q739" s="2"/>
      <c r="R739" s="2"/>
      <c r="S739" s="2"/>
      <c r="T739" s="4"/>
    </row>
    <row r="740" spans="1:20" x14ac:dyDescent="0.3">
      <c r="A740" s="5"/>
      <c r="B740" s="6"/>
      <c r="C740" s="6"/>
      <c r="D740" s="6"/>
      <c r="E740" s="6"/>
      <c r="F740" s="6"/>
      <c r="G740" s="6"/>
      <c r="H740" s="6"/>
      <c r="I740" s="6"/>
      <c r="J740" s="6"/>
      <c r="K740" s="6"/>
      <c r="L740" s="6"/>
      <c r="M740" s="6"/>
      <c r="N740" s="6"/>
      <c r="O740" s="7"/>
      <c r="P740" s="6"/>
      <c r="Q740" s="6"/>
      <c r="R740" s="6"/>
      <c r="S740" s="6"/>
      <c r="T740" s="8"/>
    </row>
    <row r="741" spans="1:20" x14ac:dyDescent="0.3">
      <c r="A741" s="1"/>
      <c r="B741" s="2"/>
      <c r="C741" s="2"/>
      <c r="D741" s="2"/>
      <c r="E741" s="2"/>
      <c r="F741" s="2"/>
      <c r="G741" s="2"/>
      <c r="H741" s="2"/>
      <c r="I741" s="2"/>
      <c r="J741" s="2"/>
      <c r="K741" s="2"/>
      <c r="L741" s="2"/>
      <c r="M741" s="2"/>
      <c r="N741" s="2"/>
      <c r="O741" s="2"/>
      <c r="P741" s="2"/>
      <c r="Q741" s="2"/>
      <c r="R741" s="2"/>
      <c r="S741" s="2"/>
      <c r="T741" s="4"/>
    </row>
    <row r="742" spans="1:20" x14ac:dyDescent="0.3">
      <c r="A742" s="5"/>
      <c r="B742" s="6"/>
      <c r="C742" s="6"/>
      <c r="D742" s="6"/>
      <c r="E742" s="6"/>
      <c r="F742" s="6"/>
      <c r="G742" s="6"/>
      <c r="H742" s="6"/>
      <c r="I742" s="6"/>
      <c r="J742" s="6"/>
      <c r="K742" s="6"/>
      <c r="L742" s="6"/>
      <c r="M742" s="6"/>
      <c r="N742" s="6"/>
      <c r="O742" s="6"/>
      <c r="P742" s="6"/>
      <c r="Q742" s="6"/>
      <c r="R742" s="6"/>
      <c r="S742" s="6"/>
      <c r="T742" s="8"/>
    </row>
    <row r="743" spans="1:20" x14ac:dyDescent="0.3">
      <c r="A743" s="1"/>
      <c r="B743" s="2"/>
      <c r="C743" s="2"/>
      <c r="D743" s="2"/>
      <c r="E743" s="2"/>
      <c r="F743" s="2"/>
      <c r="G743" s="2"/>
      <c r="H743" s="2"/>
      <c r="I743" s="2"/>
      <c r="J743" s="2"/>
      <c r="K743" s="2"/>
      <c r="L743" s="2"/>
      <c r="M743" s="2"/>
      <c r="N743" s="2"/>
      <c r="O743" s="2"/>
      <c r="P743" s="2"/>
      <c r="Q743" s="2"/>
      <c r="R743" s="2"/>
      <c r="S743" s="2"/>
      <c r="T743" s="4"/>
    </row>
    <row r="744" spans="1:20" x14ac:dyDescent="0.3">
      <c r="A744" s="5"/>
      <c r="B744" s="6"/>
      <c r="C744" s="6"/>
      <c r="D744" s="6"/>
      <c r="E744" s="6"/>
      <c r="F744" s="6"/>
      <c r="G744" s="6"/>
      <c r="H744" s="6"/>
      <c r="I744" s="6"/>
      <c r="J744" s="6"/>
      <c r="K744" s="6"/>
      <c r="L744" s="6"/>
      <c r="M744" s="6"/>
      <c r="N744" s="6"/>
      <c r="O744" s="6"/>
      <c r="P744" s="6"/>
      <c r="Q744" s="6"/>
      <c r="R744" s="6"/>
      <c r="S744" s="6"/>
      <c r="T744" s="8"/>
    </row>
    <row r="745" spans="1:20" x14ac:dyDescent="0.3">
      <c r="A745" s="1"/>
      <c r="B745" s="2"/>
      <c r="C745" s="2"/>
      <c r="D745" s="2"/>
      <c r="E745" s="2"/>
      <c r="F745" s="2"/>
      <c r="G745" s="2"/>
      <c r="H745" s="2"/>
      <c r="I745" s="2"/>
      <c r="J745" s="2"/>
      <c r="K745" s="2"/>
      <c r="L745" s="2"/>
      <c r="M745" s="2"/>
      <c r="N745" s="2"/>
      <c r="O745" s="2"/>
      <c r="P745" s="2"/>
      <c r="Q745" s="2"/>
      <c r="R745" s="2"/>
      <c r="S745" s="2"/>
      <c r="T745" s="4"/>
    </row>
    <row r="746" spans="1:20" x14ac:dyDescent="0.3">
      <c r="A746" s="5"/>
      <c r="B746" s="6"/>
      <c r="C746" s="6"/>
      <c r="D746" s="6"/>
      <c r="E746" s="6"/>
      <c r="F746" s="6"/>
      <c r="G746" s="6"/>
      <c r="H746" s="6"/>
      <c r="I746" s="6"/>
      <c r="J746" s="6"/>
      <c r="K746" s="6"/>
      <c r="L746" s="6"/>
      <c r="M746" s="6"/>
      <c r="N746" s="7"/>
      <c r="O746" s="6"/>
      <c r="P746" s="6"/>
      <c r="Q746" s="6"/>
      <c r="R746" s="6"/>
      <c r="S746" s="6"/>
      <c r="T746" s="8"/>
    </row>
    <row r="747" spans="1:20" x14ac:dyDescent="0.3">
      <c r="A747" s="1"/>
      <c r="B747" s="2"/>
      <c r="C747" s="2"/>
      <c r="D747" s="2"/>
      <c r="E747" s="2"/>
      <c r="F747" s="2"/>
      <c r="G747" s="2"/>
      <c r="H747" s="2"/>
      <c r="I747" s="2"/>
      <c r="J747" s="2"/>
      <c r="K747" s="2"/>
      <c r="L747" s="2"/>
      <c r="M747" s="2"/>
      <c r="N747" s="2"/>
      <c r="O747" s="3"/>
      <c r="P747" s="2"/>
      <c r="Q747" s="2"/>
      <c r="R747" s="2"/>
      <c r="S747" s="2"/>
      <c r="T747" s="4"/>
    </row>
    <row r="748" spans="1:20" x14ac:dyDescent="0.3">
      <c r="A748" s="5"/>
      <c r="B748" s="6"/>
      <c r="C748" s="6"/>
      <c r="D748" s="6"/>
      <c r="E748" s="6"/>
      <c r="F748" s="6"/>
      <c r="G748" s="6"/>
      <c r="H748" s="6"/>
      <c r="I748" s="6"/>
      <c r="J748" s="6"/>
      <c r="K748" s="6"/>
      <c r="L748" s="6"/>
      <c r="M748" s="6"/>
      <c r="N748" s="6"/>
      <c r="O748" s="6"/>
      <c r="P748" s="6"/>
      <c r="Q748" s="6"/>
      <c r="R748" s="6"/>
      <c r="S748" s="6"/>
      <c r="T748" s="8"/>
    </row>
    <row r="749" spans="1:20" x14ac:dyDescent="0.3">
      <c r="A749" s="1"/>
      <c r="B749" s="2"/>
      <c r="C749" s="2"/>
      <c r="D749" s="2"/>
      <c r="E749" s="2"/>
      <c r="F749" s="2"/>
      <c r="G749" s="2"/>
      <c r="H749" s="2"/>
      <c r="I749" s="2"/>
      <c r="J749" s="2"/>
      <c r="K749" s="2"/>
      <c r="L749" s="2"/>
      <c r="M749" s="2"/>
      <c r="N749" s="2"/>
      <c r="O749" s="2"/>
      <c r="P749" s="2"/>
      <c r="Q749" s="2"/>
      <c r="R749" s="2"/>
      <c r="S749" s="2"/>
      <c r="T749" s="4"/>
    </row>
    <row r="750" spans="1:20" x14ac:dyDescent="0.3">
      <c r="A750" s="5"/>
      <c r="B750" s="6"/>
      <c r="C750" s="6"/>
      <c r="D750" s="6"/>
      <c r="E750" s="6"/>
      <c r="F750" s="6"/>
      <c r="G750" s="6"/>
      <c r="H750" s="6"/>
      <c r="I750" s="6"/>
      <c r="J750" s="6"/>
      <c r="K750" s="6"/>
      <c r="L750" s="6"/>
      <c r="M750" s="6"/>
      <c r="N750" s="6"/>
      <c r="O750" s="6"/>
      <c r="P750" s="6"/>
      <c r="Q750" s="6"/>
      <c r="R750" s="6"/>
      <c r="S750" s="6"/>
      <c r="T750" s="8"/>
    </row>
    <row r="751" spans="1:20" x14ac:dyDescent="0.3">
      <c r="A751" s="1"/>
      <c r="B751" s="2"/>
      <c r="C751" s="2"/>
      <c r="D751" s="2"/>
      <c r="E751" s="2"/>
      <c r="F751" s="2"/>
      <c r="G751" s="2"/>
      <c r="H751" s="2"/>
      <c r="I751" s="2"/>
      <c r="J751" s="2"/>
      <c r="K751" s="2"/>
      <c r="L751" s="2"/>
      <c r="M751" s="2"/>
      <c r="N751" s="2"/>
      <c r="O751" s="3"/>
      <c r="P751" s="2"/>
      <c r="Q751" s="2"/>
      <c r="R751" s="2"/>
      <c r="S751" s="2"/>
      <c r="T751" s="4"/>
    </row>
    <row r="752" spans="1:20" x14ac:dyDescent="0.3">
      <c r="A752" s="5"/>
      <c r="B752" s="6"/>
      <c r="C752" s="6"/>
      <c r="D752" s="6"/>
      <c r="E752" s="6"/>
      <c r="F752" s="6"/>
      <c r="G752" s="6"/>
      <c r="H752" s="6"/>
      <c r="I752" s="6"/>
      <c r="J752" s="6"/>
      <c r="K752" s="6"/>
      <c r="L752" s="6"/>
      <c r="M752" s="6"/>
      <c r="N752" s="6"/>
      <c r="O752" s="7"/>
      <c r="P752" s="6"/>
      <c r="Q752" s="6"/>
      <c r="R752" s="6"/>
      <c r="S752" s="6"/>
      <c r="T752" s="8"/>
    </row>
    <row r="753" spans="1:20" x14ac:dyDescent="0.3">
      <c r="A753" s="1"/>
      <c r="B753" s="2"/>
      <c r="C753" s="2"/>
      <c r="D753" s="2"/>
      <c r="E753" s="2"/>
      <c r="F753" s="2"/>
      <c r="G753" s="2"/>
      <c r="H753" s="2"/>
      <c r="I753" s="2"/>
      <c r="J753" s="2"/>
      <c r="K753" s="2"/>
      <c r="L753" s="2"/>
      <c r="M753" s="2"/>
      <c r="N753" s="2"/>
      <c r="O753" s="2"/>
      <c r="P753" s="2"/>
      <c r="Q753" s="2"/>
      <c r="R753" s="2"/>
      <c r="S753" s="2"/>
      <c r="T753" s="4"/>
    </row>
    <row r="754" spans="1:20" x14ac:dyDescent="0.3">
      <c r="A754" s="5"/>
      <c r="B754" s="6"/>
      <c r="C754" s="6"/>
      <c r="D754" s="6"/>
      <c r="E754" s="6"/>
      <c r="F754" s="6"/>
      <c r="G754" s="6"/>
      <c r="H754" s="6"/>
      <c r="I754" s="6"/>
      <c r="J754" s="6"/>
      <c r="K754" s="6"/>
      <c r="L754" s="6"/>
      <c r="M754" s="6"/>
      <c r="N754" s="6"/>
      <c r="O754" s="6"/>
      <c r="P754" s="6"/>
      <c r="Q754" s="6"/>
      <c r="R754" s="6"/>
      <c r="S754" s="6"/>
      <c r="T754" s="8"/>
    </row>
    <row r="755" spans="1:20" x14ac:dyDescent="0.3">
      <c r="A755" s="1"/>
      <c r="B755" s="2"/>
      <c r="C755" s="2"/>
      <c r="D755" s="2"/>
      <c r="E755" s="2"/>
      <c r="F755" s="2"/>
      <c r="G755" s="2"/>
      <c r="H755" s="2"/>
      <c r="I755" s="2"/>
      <c r="J755" s="2"/>
      <c r="K755" s="2"/>
      <c r="L755" s="2"/>
      <c r="M755" s="2"/>
      <c r="N755" s="2"/>
      <c r="O755" s="3"/>
      <c r="P755" s="2"/>
      <c r="Q755" s="2"/>
      <c r="R755" s="2"/>
      <c r="S755" s="2"/>
      <c r="T755" s="4"/>
    </row>
    <row r="756" spans="1:20" x14ac:dyDescent="0.3">
      <c r="A756" s="5"/>
      <c r="B756" s="6"/>
      <c r="C756" s="6"/>
      <c r="D756" s="6"/>
      <c r="E756" s="6"/>
      <c r="F756" s="6"/>
      <c r="G756" s="6"/>
      <c r="H756" s="6"/>
      <c r="I756" s="6"/>
      <c r="J756" s="6"/>
      <c r="K756" s="6"/>
      <c r="L756" s="6"/>
      <c r="M756" s="6"/>
      <c r="N756" s="6"/>
      <c r="O756" s="6"/>
      <c r="P756" s="6"/>
      <c r="Q756" s="6"/>
      <c r="R756" s="6"/>
      <c r="S756" s="6"/>
      <c r="T756" s="8"/>
    </row>
    <row r="757" spans="1:20" x14ac:dyDescent="0.3">
      <c r="A757" s="1"/>
      <c r="B757" s="2"/>
      <c r="C757" s="2"/>
      <c r="D757" s="2"/>
      <c r="E757" s="2"/>
      <c r="F757" s="2"/>
      <c r="G757" s="2"/>
      <c r="H757" s="2"/>
      <c r="I757" s="2"/>
      <c r="J757" s="2"/>
      <c r="K757" s="2"/>
      <c r="L757" s="2"/>
      <c r="M757" s="2"/>
      <c r="N757" s="2"/>
      <c r="O757" s="3"/>
      <c r="P757" s="2"/>
      <c r="Q757" s="2"/>
      <c r="R757" s="2"/>
      <c r="S757" s="2"/>
      <c r="T757" s="4"/>
    </row>
    <row r="758" spans="1:20" x14ac:dyDescent="0.3">
      <c r="A758" s="5"/>
      <c r="B758" s="6"/>
      <c r="C758" s="6"/>
      <c r="D758" s="6"/>
      <c r="E758" s="6"/>
      <c r="F758" s="6"/>
      <c r="G758" s="6"/>
      <c r="H758" s="6"/>
      <c r="I758" s="6"/>
      <c r="J758" s="6"/>
      <c r="K758" s="6"/>
      <c r="L758" s="6"/>
      <c r="M758" s="6"/>
      <c r="N758" s="6"/>
      <c r="O758" s="6"/>
      <c r="P758" s="6"/>
      <c r="Q758" s="6"/>
      <c r="R758" s="6"/>
      <c r="S758" s="6"/>
      <c r="T758" s="8"/>
    </row>
    <row r="759" spans="1:20" x14ac:dyDescent="0.3">
      <c r="A759" s="1"/>
      <c r="B759" s="2"/>
      <c r="C759" s="2"/>
      <c r="D759" s="2"/>
      <c r="E759" s="2"/>
      <c r="F759" s="2"/>
      <c r="G759" s="2"/>
      <c r="H759" s="2"/>
      <c r="I759" s="2"/>
      <c r="J759" s="2"/>
      <c r="K759" s="2"/>
      <c r="L759" s="2"/>
      <c r="M759" s="2"/>
      <c r="N759" s="2"/>
      <c r="O759" s="2"/>
      <c r="P759" s="2"/>
      <c r="Q759" s="2"/>
      <c r="R759" s="2"/>
      <c r="S759" s="2"/>
      <c r="T759" s="4"/>
    </row>
    <row r="760" spans="1:20" x14ac:dyDescent="0.3">
      <c r="A760" s="5"/>
      <c r="B760" s="6"/>
      <c r="C760" s="6"/>
      <c r="D760" s="6"/>
      <c r="E760" s="6"/>
      <c r="F760" s="6"/>
      <c r="G760" s="6"/>
      <c r="H760" s="6"/>
      <c r="I760" s="6"/>
      <c r="J760" s="6"/>
      <c r="K760" s="6"/>
      <c r="L760" s="6"/>
      <c r="M760" s="6"/>
      <c r="N760" s="6"/>
      <c r="O760" s="6"/>
      <c r="P760" s="6"/>
      <c r="Q760" s="6"/>
      <c r="R760" s="6"/>
      <c r="S760" s="6"/>
      <c r="T760" s="8"/>
    </row>
    <row r="761" spans="1:20" x14ac:dyDescent="0.3">
      <c r="A761" s="1"/>
      <c r="B761" s="2"/>
      <c r="C761" s="2"/>
      <c r="D761" s="2"/>
      <c r="E761" s="2"/>
      <c r="F761" s="2"/>
      <c r="G761" s="2"/>
      <c r="H761" s="2"/>
      <c r="I761" s="2"/>
      <c r="J761" s="2"/>
      <c r="K761" s="2"/>
      <c r="L761" s="2"/>
      <c r="M761" s="2"/>
      <c r="N761" s="2"/>
      <c r="O761" s="2"/>
      <c r="P761" s="2"/>
      <c r="Q761" s="2"/>
      <c r="R761" s="2"/>
      <c r="S761" s="2"/>
      <c r="T761" s="4"/>
    </row>
    <row r="762" spans="1:20" x14ac:dyDescent="0.3">
      <c r="A762" s="5"/>
      <c r="B762" s="6"/>
      <c r="C762" s="6"/>
      <c r="D762" s="6"/>
      <c r="E762" s="6"/>
      <c r="F762" s="6"/>
      <c r="G762" s="6"/>
      <c r="H762" s="6"/>
      <c r="I762" s="6"/>
      <c r="J762" s="6"/>
      <c r="K762" s="6"/>
      <c r="L762" s="6"/>
      <c r="M762" s="6"/>
      <c r="N762" s="6"/>
      <c r="O762" s="6"/>
      <c r="P762" s="6"/>
      <c r="Q762" s="6"/>
      <c r="R762" s="6"/>
      <c r="S762" s="6"/>
      <c r="T762" s="8"/>
    </row>
    <row r="763" spans="1:20" x14ac:dyDescent="0.3">
      <c r="A763" s="1"/>
      <c r="B763" s="2"/>
      <c r="C763" s="2"/>
      <c r="D763" s="2"/>
      <c r="E763" s="2"/>
      <c r="F763" s="2"/>
      <c r="G763" s="2"/>
      <c r="H763" s="2"/>
      <c r="I763" s="2"/>
      <c r="J763" s="2"/>
      <c r="K763" s="2"/>
      <c r="L763" s="2"/>
      <c r="M763" s="2"/>
      <c r="N763" s="2"/>
      <c r="O763" s="2"/>
      <c r="P763" s="2"/>
      <c r="Q763" s="2"/>
      <c r="R763" s="2"/>
      <c r="S763" s="2"/>
      <c r="T763" s="4"/>
    </row>
    <row r="764" spans="1:20" x14ac:dyDescent="0.3">
      <c r="A764" s="5"/>
      <c r="B764" s="6"/>
      <c r="C764" s="6"/>
      <c r="D764" s="6"/>
      <c r="E764" s="6"/>
      <c r="F764" s="6"/>
      <c r="G764" s="6"/>
      <c r="H764" s="6"/>
      <c r="I764" s="6"/>
      <c r="J764" s="6"/>
      <c r="K764" s="6"/>
      <c r="L764" s="6"/>
      <c r="M764" s="6"/>
      <c r="N764" s="6"/>
      <c r="O764" s="7"/>
      <c r="P764" s="6"/>
      <c r="Q764" s="6"/>
      <c r="R764" s="6"/>
      <c r="S764" s="6"/>
      <c r="T764" s="8"/>
    </row>
    <row r="765" spans="1:20" x14ac:dyDescent="0.3">
      <c r="A765" s="1"/>
      <c r="B765" s="2"/>
      <c r="C765" s="2"/>
      <c r="D765" s="2"/>
      <c r="E765" s="2"/>
      <c r="F765" s="2"/>
      <c r="G765" s="2"/>
      <c r="H765" s="2"/>
      <c r="I765" s="2"/>
      <c r="J765" s="2"/>
      <c r="K765" s="2"/>
      <c r="L765" s="2"/>
      <c r="M765" s="2"/>
      <c r="N765" s="2"/>
      <c r="O765" s="3"/>
      <c r="P765" s="2"/>
      <c r="Q765" s="2"/>
      <c r="R765" s="2"/>
      <c r="S765" s="2"/>
      <c r="T765" s="4"/>
    </row>
    <row r="766" spans="1:20" x14ac:dyDescent="0.3">
      <c r="A766" s="5"/>
      <c r="B766" s="6"/>
      <c r="C766" s="6"/>
      <c r="D766" s="6"/>
      <c r="E766" s="6"/>
      <c r="F766" s="6"/>
      <c r="G766" s="6"/>
      <c r="H766" s="6"/>
      <c r="I766" s="6"/>
      <c r="J766" s="6"/>
      <c r="K766" s="6"/>
      <c r="L766" s="6"/>
      <c r="M766" s="6"/>
      <c r="N766" s="6"/>
      <c r="O766" s="7"/>
      <c r="P766" s="6"/>
      <c r="Q766" s="6"/>
      <c r="R766" s="6"/>
      <c r="S766" s="6"/>
      <c r="T766" s="8"/>
    </row>
    <row r="767" spans="1:20" x14ac:dyDescent="0.3">
      <c r="A767" s="1"/>
      <c r="B767" s="2"/>
      <c r="C767" s="2"/>
      <c r="D767" s="2"/>
      <c r="E767" s="2"/>
      <c r="F767" s="2"/>
      <c r="G767" s="2"/>
      <c r="H767" s="2"/>
      <c r="I767" s="2"/>
      <c r="J767" s="2"/>
      <c r="K767" s="2"/>
      <c r="L767" s="2"/>
      <c r="M767" s="2"/>
      <c r="N767" s="2"/>
      <c r="O767" s="2"/>
      <c r="P767" s="2"/>
      <c r="Q767" s="2"/>
      <c r="R767" s="2"/>
      <c r="S767" s="2"/>
      <c r="T767" s="4"/>
    </row>
    <row r="768" spans="1:20" x14ac:dyDescent="0.3">
      <c r="A768" s="5"/>
      <c r="B768" s="6"/>
      <c r="C768" s="6"/>
      <c r="D768" s="6"/>
      <c r="E768" s="6"/>
      <c r="F768" s="6"/>
      <c r="G768" s="6"/>
      <c r="H768" s="6"/>
      <c r="I768" s="6"/>
      <c r="J768" s="6"/>
      <c r="K768" s="6"/>
      <c r="L768" s="6"/>
      <c r="M768" s="6"/>
      <c r="N768" s="6"/>
      <c r="O768" s="6"/>
      <c r="P768" s="6"/>
      <c r="Q768" s="6"/>
      <c r="R768" s="6"/>
      <c r="S768" s="6"/>
      <c r="T768" s="8"/>
    </row>
    <row r="769" spans="1:20" x14ac:dyDescent="0.3">
      <c r="A769" s="1"/>
      <c r="B769" s="2"/>
      <c r="C769" s="2"/>
      <c r="D769" s="2"/>
      <c r="E769" s="2"/>
      <c r="F769" s="2"/>
      <c r="G769" s="2"/>
      <c r="H769" s="2"/>
      <c r="I769" s="2"/>
      <c r="J769" s="2"/>
      <c r="K769" s="2"/>
      <c r="L769" s="2"/>
      <c r="M769" s="2"/>
      <c r="N769" s="2"/>
      <c r="O769" s="2"/>
      <c r="P769" s="2"/>
      <c r="Q769" s="2"/>
      <c r="R769" s="2"/>
      <c r="S769" s="2"/>
      <c r="T769" s="4"/>
    </row>
    <row r="770" spans="1:20" x14ac:dyDescent="0.3">
      <c r="A770" s="5"/>
      <c r="B770" s="6"/>
      <c r="C770" s="6"/>
      <c r="D770" s="6"/>
      <c r="E770" s="6"/>
      <c r="F770" s="6"/>
      <c r="G770" s="6"/>
      <c r="H770" s="6"/>
      <c r="I770" s="6"/>
      <c r="J770" s="6"/>
      <c r="K770" s="6"/>
      <c r="L770" s="6"/>
      <c r="M770" s="6"/>
      <c r="N770" s="6"/>
      <c r="O770" s="6"/>
      <c r="P770" s="6"/>
      <c r="Q770" s="6"/>
      <c r="R770" s="6"/>
      <c r="S770" s="6"/>
      <c r="T770" s="8"/>
    </row>
    <row r="771" spans="1:20" x14ac:dyDescent="0.3">
      <c r="A771" s="1"/>
      <c r="B771" s="2"/>
      <c r="C771" s="2"/>
      <c r="D771" s="2"/>
      <c r="E771" s="2"/>
      <c r="F771" s="2"/>
      <c r="G771" s="2"/>
      <c r="H771" s="2"/>
      <c r="I771" s="2"/>
      <c r="J771" s="2"/>
      <c r="K771" s="2"/>
      <c r="L771" s="2"/>
      <c r="M771" s="2"/>
      <c r="N771" s="2"/>
      <c r="O771" s="2"/>
      <c r="P771" s="2"/>
      <c r="Q771" s="2"/>
      <c r="R771" s="2"/>
      <c r="S771" s="2"/>
      <c r="T771" s="4"/>
    </row>
    <row r="772" spans="1:20" x14ac:dyDescent="0.3">
      <c r="A772" s="5"/>
      <c r="B772" s="6"/>
      <c r="C772" s="6"/>
      <c r="D772" s="6"/>
      <c r="E772" s="6"/>
      <c r="F772" s="6"/>
      <c r="G772" s="6"/>
      <c r="H772" s="6"/>
      <c r="I772" s="6"/>
      <c r="J772" s="6"/>
      <c r="K772" s="6"/>
      <c r="L772" s="6"/>
      <c r="M772" s="6"/>
      <c r="N772" s="6"/>
      <c r="O772" s="6"/>
      <c r="P772" s="6"/>
      <c r="Q772" s="6"/>
      <c r="R772" s="6"/>
      <c r="S772" s="6"/>
      <c r="T772" s="8"/>
    </row>
    <row r="773" spans="1:20" x14ac:dyDescent="0.3">
      <c r="A773" s="1"/>
      <c r="B773" s="2"/>
      <c r="C773" s="2"/>
      <c r="D773" s="2"/>
      <c r="E773" s="2"/>
      <c r="F773" s="2"/>
      <c r="G773" s="2"/>
      <c r="H773" s="2"/>
      <c r="I773" s="2"/>
      <c r="J773" s="2"/>
      <c r="K773" s="2"/>
      <c r="L773" s="2"/>
      <c r="M773" s="2"/>
      <c r="N773" s="2"/>
      <c r="O773" s="2"/>
      <c r="P773" s="2"/>
      <c r="Q773" s="2"/>
      <c r="R773" s="2"/>
      <c r="S773" s="2"/>
      <c r="T773" s="4"/>
    </row>
    <row r="774" spans="1:20" x14ac:dyDescent="0.3">
      <c r="A774" s="5"/>
      <c r="B774" s="6"/>
      <c r="C774" s="6"/>
      <c r="D774" s="6"/>
      <c r="E774" s="6"/>
      <c r="F774" s="6"/>
      <c r="G774" s="6"/>
      <c r="H774" s="6"/>
      <c r="I774" s="6"/>
      <c r="J774" s="6"/>
      <c r="K774" s="6"/>
      <c r="L774" s="6"/>
      <c r="M774" s="6"/>
      <c r="N774" s="6"/>
      <c r="O774" s="6"/>
      <c r="P774" s="6"/>
      <c r="Q774" s="6"/>
      <c r="R774" s="6"/>
      <c r="S774" s="6"/>
      <c r="T774" s="8"/>
    </row>
    <row r="775" spans="1:20" x14ac:dyDescent="0.3">
      <c r="A775" s="1"/>
      <c r="B775" s="2"/>
      <c r="C775" s="2"/>
      <c r="D775" s="2"/>
      <c r="E775" s="2"/>
      <c r="F775" s="2"/>
      <c r="G775" s="2"/>
      <c r="H775" s="2"/>
      <c r="I775" s="2"/>
      <c r="J775" s="2"/>
      <c r="K775" s="2"/>
      <c r="L775" s="2"/>
      <c r="M775" s="2"/>
      <c r="N775" s="2"/>
      <c r="O775" s="2"/>
      <c r="P775" s="2"/>
      <c r="Q775" s="2"/>
      <c r="R775" s="2"/>
      <c r="S775" s="2"/>
      <c r="T775" s="4"/>
    </row>
    <row r="776" spans="1:20" x14ac:dyDescent="0.3">
      <c r="A776" s="5"/>
      <c r="B776" s="6"/>
      <c r="C776" s="6"/>
      <c r="D776" s="6"/>
      <c r="E776" s="6"/>
      <c r="F776" s="6"/>
      <c r="G776" s="6"/>
      <c r="H776" s="6"/>
      <c r="I776" s="6"/>
      <c r="J776" s="6"/>
      <c r="K776" s="6"/>
      <c r="L776" s="6"/>
      <c r="M776" s="6"/>
      <c r="N776" s="6"/>
      <c r="O776" s="7"/>
      <c r="P776" s="6"/>
      <c r="Q776" s="6"/>
      <c r="R776" s="6"/>
      <c r="S776" s="6"/>
      <c r="T776" s="8"/>
    </row>
    <row r="777" spans="1:20" x14ac:dyDescent="0.3">
      <c r="A777" s="1"/>
      <c r="B777" s="2"/>
      <c r="C777" s="2"/>
      <c r="D777" s="2"/>
      <c r="E777" s="2"/>
      <c r="F777" s="2"/>
      <c r="G777" s="2"/>
      <c r="H777" s="2"/>
      <c r="I777" s="2"/>
      <c r="J777" s="2"/>
      <c r="K777" s="2"/>
      <c r="L777" s="2"/>
      <c r="M777" s="2"/>
      <c r="N777" s="2"/>
      <c r="O777" s="3"/>
      <c r="P777" s="2"/>
      <c r="Q777" s="2"/>
      <c r="R777" s="2"/>
      <c r="S777" s="2"/>
      <c r="T777" s="4"/>
    </row>
    <row r="778" spans="1:20" x14ac:dyDescent="0.3">
      <c r="A778" s="5"/>
      <c r="B778" s="6"/>
      <c r="C778" s="6"/>
      <c r="D778" s="6"/>
      <c r="E778" s="6"/>
      <c r="F778" s="6"/>
      <c r="G778" s="6"/>
      <c r="H778" s="6"/>
      <c r="I778" s="6"/>
      <c r="J778" s="6"/>
      <c r="K778" s="6"/>
      <c r="L778" s="6"/>
      <c r="M778" s="6"/>
      <c r="N778" s="6"/>
      <c r="O778" s="6"/>
      <c r="P778" s="6"/>
      <c r="Q778" s="6"/>
      <c r="R778" s="6"/>
      <c r="S778" s="6"/>
      <c r="T778" s="8"/>
    </row>
    <row r="779" spans="1:20" x14ac:dyDescent="0.3">
      <c r="A779" s="1"/>
      <c r="B779" s="2"/>
      <c r="C779" s="2"/>
      <c r="D779" s="2"/>
      <c r="E779" s="2"/>
      <c r="F779" s="2"/>
      <c r="G779" s="2"/>
      <c r="H779" s="2"/>
      <c r="I779" s="2"/>
      <c r="J779" s="2"/>
      <c r="K779" s="2"/>
      <c r="L779" s="2"/>
      <c r="M779" s="2"/>
      <c r="N779" s="2"/>
      <c r="O779" s="3"/>
      <c r="P779" s="2"/>
      <c r="Q779" s="2"/>
      <c r="R779" s="2"/>
      <c r="S779" s="2"/>
      <c r="T779" s="4"/>
    </row>
    <row r="780" spans="1:20" x14ac:dyDescent="0.3">
      <c r="A780" s="5"/>
      <c r="B780" s="6"/>
      <c r="C780" s="6"/>
      <c r="D780" s="6"/>
      <c r="E780" s="6"/>
      <c r="F780" s="6"/>
      <c r="G780" s="6"/>
      <c r="H780" s="6"/>
      <c r="I780" s="6"/>
      <c r="J780" s="6"/>
      <c r="K780" s="6"/>
      <c r="L780" s="6"/>
      <c r="M780" s="6"/>
      <c r="N780" s="6"/>
      <c r="O780" s="6"/>
      <c r="P780" s="6"/>
      <c r="Q780" s="6"/>
      <c r="R780" s="6"/>
      <c r="S780" s="6"/>
      <c r="T780" s="8"/>
    </row>
    <row r="781" spans="1:20" x14ac:dyDescent="0.3">
      <c r="A781" s="1"/>
      <c r="B781" s="2"/>
      <c r="C781" s="2"/>
      <c r="D781" s="2"/>
      <c r="E781" s="2"/>
      <c r="F781" s="2"/>
      <c r="G781" s="2"/>
      <c r="H781" s="2"/>
      <c r="I781" s="2"/>
      <c r="J781" s="2"/>
      <c r="K781" s="2"/>
      <c r="L781" s="2"/>
      <c r="M781" s="2"/>
      <c r="N781" s="2"/>
      <c r="O781" s="2"/>
      <c r="P781" s="2"/>
      <c r="Q781" s="2"/>
      <c r="R781" s="2"/>
      <c r="S781" s="2"/>
      <c r="T781" s="4"/>
    </row>
    <row r="782" spans="1:20" x14ac:dyDescent="0.3">
      <c r="A782" s="5"/>
      <c r="B782" s="6"/>
      <c r="C782" s="6"/>
      <c r="D782" s="6"/>
      <c r="E782" s="6"/>
      <c r="F782" s="6"/>
      <c r="G782" s="6"/>
      <c r="H782" s="6"/>
      <c r="I782" s="6"/>
      <c r="J782" s="6"/>
      <c r="K782" s="6"/>
      <c r="L782" s="6"/>
      <c r="M782" s="6"/>
      <c r="N782" s="6"/>
      <c r="O782" s="6"/>
      <c r="P782" s="6"/>
      <c r="Q782" s="6"/>
      <c r="R782" s="6"/>
      <c r="S782" s="6"/>
      <c r="T782" s="8"/>
    </row>
    <row r="783" spans="1:20" x14ac:dyDescent="0.3">
      <c r="A783" s="1"/>
      <c r="B783" s="2"/>
      <c r="C783" s="2"/>
      <c r="D783" s="2"/>
      <c r="E783" s="2"/>
      <c r="F783" s="2"/>
      <c r="G783" s="2"/>
      <c r="H783" s="2"/>
      <c r="I783" s="2"/>
      <c r="J783" s="2"/>
      <c r="K783" s="2"/>
      <c r="L783" s="2"/>
      <c r="M783" s="2"/>
      <c r="N783" s="2"/>
      <c r="O783" s="3"/>
      <c r="P783" s="2"/>
      <c r="Q783" s="2"/>
      <c r="R783" s="2"/>
      <c r="S783" s="2"/>
      <c r="T783" s="4"/>
    </row>
    <row r="784" spans="1:20" x14ac:dyDescent="0.3">
      <c r="A784" s="5"/>
      <c r="B784" s="6"/>
      <c r="C784" s="6"/>
      <c r="D784" s="6"/>
      <c r="E784" s="6"/>
      <c r="F784" s="6"/>
      <c r="G784" s="6"/>
      <c r="H784" s="6"/>
      <c r="I784" s="6"/>
      <c r="J784" s="6"/>
      <c r="K784" s="6"/>
      <c r="L784" s="6"/>
      <c r="M784" s="6"/>
      <c r="N784" s="6"/>
      <c r="O784" s="7"/>
      <c r="P784" s="6"/>
      <c r="Q784" s="6"/>
      <c r="R784" s="6"/>
      <c r="S784" s="6"/>
      <c r="T784" s="8"/>
    </row>
    <row r="785" spans="1:20" x14ac:dyDescent="0.3">
      <c r="A785" s="1"/>
      <c r="B785" s="2"/>
      <c r="C785" s="2"/>
      <c r="D785" s="2"/>
      <c r="E785" s="2"/>
      <c r="F785" s="2"/>
      <c r="G785" s="2"/>
      <c r="H785" s="2"/>
      <c r="I785" s="2"/>
      <c r="J785" s="2"/>
      <c r="K785" s="2"/>
      <c r="L785" s="2"/>
      <c r="M785" s="2"/>
      <c r="N785" s="2"/>
      <c r="O785" s="2"/>
      <c r="P785" s="2"/>
      <c r="Q785" s="2"/>
      <c r="R785" s="2"/>
      <c r="S785" s="2"/>
      <c r="T785" s="4"/>
    </row>
    <row r="786" spans="1:20" x14ac:dyDescent="0.3">
      <c r="A786" s="5"/>
      <c r="B786" s="6"/>
      <c r="C786" s="6"/>
      <c r="D786" s="6"/>
      <c r="E786" s="6"/>
      <c r="F786" s="6"/>
      <c r="G786" s="6"/>
      <c r="H786" s="6"/>
      <c r="I786" s="6"/>
      <c r="J786" s="6"/>
      <c r="K786" s="6"/>
      <c r="L786" s="6"/>
      <c r="M786" s="6"/>
      <c r="N786" s="6"/>
      <c r="O786" s="6"/>
      <c r="P786" s="6"/>
      <c r="Q786" s="6"/>
      <c r="R786" s="6"/>
      <c r="S786" s="6"/>
      <c r="T786" s="8"/>
    </row>
    <row r="787" spans="1:20" x14ac:dyDescent="0.3">
      <c r="A787" s="1"/>
      <c r="B787" s="2"/>
      <c r="C787" s="2"/>
      <c r="D787" s="2"/>
      <c r="E787" s="2"/>
      <c r="F787" s="2"/>
      <c r="G787" s="2"/>
      <c r="H787" s="2"/>
      <c r="I787" s="2"/>
      <c r="J787" s="2"/>
      <c r="K787" s="2"/>
      <c r="L787" s="2"/>
      <c r="M787" s="2"/>
      <c r="N787" s="2"/>
      <c r="O787" s="3"/>
      <c r="P787" s="2"/>
      <c r="Q787" s="2"/>
      <c r="R787" s="2"/>
      <c r="S787" s="2"/>
      <c r="T787" s="4"/>
    </row>
    <row r="788" spans="1:20" x14ac:dyDescent="0.3">
      <c r="A788" s="5"/>
      <c r="B788" s="6"/>
      <c r="C788" s="6"/>
      <c r="D788" s="6"/>
      <c r="E788" s="6"/>
      <c r="F788" s="6"/>
      <c r="G788" s="6"/>
      <c r="H788" s="6"/>
      <c r="I788" s="6"/>
      <c r="J788" s="6"/>
      <c r="K788" s="6"/>
      <c r="L788" s="6"/>
      <c r="M788" s="6"/>
      <c r="N788" s="6"/>
      <c r="O788" s="6"/>
      <c r="P788" s="6"/>
      <c r="Q788" s="6"/>
      <c r="R788" s="6"/>
      <c r="S788" s="6"/>
      <c r="T788" s="8"/>
    </row>
    <row r="789" spans="1:20" x14ac:dyDescent="0.3">
      <c r="A789" s="1"/>
      <c r="B789" s="2"/>
      <c r="C789" s="2"/>
      <c r="D789" s="2"/>
      <c r="E789" s="2"/>
      <c r="F789" s="2"/>
      <c r="G789" s="2"/>
      <c r="H789" s="2"/>
      <c r="I789" s="2"/>
      <c r="J789" s="2"/>
      <c r="K789" s="2"/>
      <c r="L789" s="2"/>
      <c r="M789" s="2"/>
      <c r="N789" s="2"/>
      <c r="O789" s="2"/>
      <c r="P789" s="2"/>
      <c r="Q789" s="2"/>
      <c r="R789" s="2"/>
      <c r="S789" s="2"/>
      <c r="T789" s="4"/>
    </row>
    <row r="790" spans="1:20" x14ac:dyDescent="0.3">
      <c r="A790" s="5"/>
      <c r="B790" s="6"/>
      <c r="C790" s="6"/>
      <c r="D790" s="6"/>
      <c r="E790" s="6"/>
      <c r="F790" s="6"/>
      <c r="G790" s="6"/>
      <c r="H790" s="6"/>
      <c r="I790" s="6"/>
      <c r="J790" s="6"/>
      <c r="K790" s="6"/>
      <c r="L790" s="6"/>
      <c r="M790" s="6"/>
      <c r="N790" s="7"/>
      <c r="O790" s="7"/>
      <c r="P790" s="6"/>
      <c r="Q790" s="6"/>
      <c r="R790" s="6"/>
      <c r="S790" s="6"/>
      <c r="T790" s="8"/>
    </row>
    <row r="791" spans="1:20" x14ac:dyDescent="0.3">
      <c r="A791" s="1"/>
      <c r="B791" s="2"/>
      <c r="C791" s="2"/>
      <c r="D791" s="2"/>
      <c r="E791" s="2"/>
      <c r="F791" s="2"/>
      <c r="G791" s="2"/>
      <c r="H791" s="2"/>
      <c r="I791" s="2"/>
      <c r="J791" s="2"/>
      <c r="K791" s="2"/>
      <c r="L791" s="2"/>
      <c r="M791" s="2"/>
      <c r="N791" s="2"/>
      <c r="O791" s="2"/>
      <c r="P791" s="2"/>
      <c r="Q791" s="2"/>
      <c r="R791" s="2"/>
      <c r="S791" s="2"/>
      <c r="T791" s="4"/>
    </row>
    <row r="792" spans="1:20" x14ac:dyDescent="0.3">
      <c r="A792" s="5"/>
      <c r="B792" s="6"/>
      <c r="C792" s="6"/>
      <c r="D792" s="6"/>
      <c r="E792" s="6"/>
      <c r="F792" s="6"/>
      <c r="G792" s="6"/>
      <c r="H792" s="6"/>
      <c r="I792" s="6"/>
      <c r="J792" s="6"/>
      <c r="K792" s="6"/>
      <c r="L792" s="6"/>
      <c r="M792" s="6"/>
      <c r="N792" s="6"/>
      <c r="O792" s="6"/>
      <c r="P792" s="6"/>
      <c r="Q792" s="6"/>
      <c r="R792" s="6"/>
      <c r="S792" s="6"/>
      <c r="T792" s="8"/>
    </row>
    <row r="793" spans="1:20" x14ac:dyDescent="0.3">
      <c r="A793" s="1"/>
      <c r="B793" s="2"/>
      <c r="C793" s="2"/>
      <c r="D793" s="2"/>
      <c r="E793" s="2"/>
      <c r="F793" s="2"/>
      <c r="G793" s="2"/>
      <c r="H793" s="2"/>
      <c r="I793" s="2"/>
      <c r="J793" s="2"/>
      <c r="K793" s="2"/>
      <c r="L793" s="2"/>
      <c r="M793" s="2"/>
      <c r="N793" s="2"/>
      <c r="O793" s="2"/>
      <c r="P793" s="2"/>
      <c r="Q793" s="2"/>
      <c r="R793" s="2"/>
      <c r="S793" s="2"/>
      <c r="T793" s="4"/>
    </row>
    <row r="794" spans="1:20" x14ac:dyDescent="0.3">
      <c r="A794" s="5"/>
      <c r="B794" s="6"/>
      <c r="C794" s="6"/>
      <c r="D794" s="6"/>
      <c r="E794" s="6"/>
      <c r="F794" s="6"/>
      <c r="G794" s="6"/>
      <c r="H794" s="6"/>
      <c r="I794" s="6"/>
      <c r="J794" s="6"/>
      <c r="K794" s="6"/>
      <c r="L794" s="6"/>
      <c r="M794" s="6"/>
      <c r="N794" s="6"/>
      <c r="O794" s="6"/>
      <c r="P794" s="6"/>
      <c r="Q794" s="6"/>
      <c r="R794" s="6"/>
      <c r="S794" s="6"/>
      <c r="T794" s="8"/>
    </row>
    <row r="795" spans="1:20" x14ac:dyDescent="0.3">
      <c r="A795" s="1"/>
      <c r="B795" s="2"/>
      <c r="C795" s="2"/>
      <c r="D795" s="2"/>
      <c r="E795" s="2"/>
      <c r="F795" s="2"/>
      <c r="G795" s="2"/>
      <c r="H795" s="2"/>
      <c r="I795" s="2"/>
      <c r="J795" s="2"/>
      <c r="K795" s="2"/>
      <c r="L795" s="2"/>
      <c r="M795" s="2"/>
      <c r="N795" s="2"/>
      <c r="O795" s="2"/>
      <c r="P795" s="2"/>
      <c r="Q795" s="2"/>
      <c r="R795" s="2"/>
      <c r="S795" s="2"/>
      <c r="T795" s="4"/>
    </row>
    <row r="796" spans="1:20" x14ac:dyDescent="0.3">
      <c r="A796" s="5"/>
      <c r="B796" s="6"/>
      <c r="C796" s="6"/>
      <c r="D796" s="6"/>
      <c r="E796" s="6"/>
      <c r="F796" s="6"/>
      <c r="G796" s="6"/>
      <c r="H796" s="6"/>
      <c r="I796" s="6"/>
      <c r="J796" s="6"/>
      <c r="K796" s="6"/>
      <c r="L796" s="6"/>
      <c r="M796" s="6"/>
      <c r="N796" s="6"/>
      <c r="O796" s="7"/>
      <c r="P796" s="6"/>
      <c r="Q796" s="6"/>
      <c r="R796" s="6"/>
      <c r="S796" s="6"/>
      <c r="T796" s="8"/>
    </row>
    <row r="797" spans="1:20" x14ac:dyDescent="0.3">
      <c r="A797" s="1"/>
      <c r="B797" s="2"/>
      <c r="C797" s="2"/>
      <c r="D797" s="2"/>
      <c r="E797" s="2"/>
      <c r="F797" s="2"/>
      <c r="G797" s="2"/>
      <c r="H797" s="2"/>
      <c r="I797" s="2"/>
      <c r="J797" s="2"/>
      <c r="K797" s="2"/>
      <c r="L797" s="2"/>
      <c r="M797" s="2"/>
      <c r="N797" s="2"/>
      <c r="O797" s="3"/>
      <c r="P797" s="2"/>
      <c r="Q797" s="2"/>
      <c r="R797" s="2"/>
      <c r="S797" s="2"/>
      <c r="T797" s="4"/>
    </row>
    <row r="798" spans="1:20" x14ac:dyDescent="0.3">
      <c r="A798" s="5"/>
      <c r="B798" s="6"/>
      <c r="C798" s="6"/>
      <c r="D798" s="6"/>
      <c r="E798" s="6"/>
      <c r="F798" s="6"/>
      <c r="G798" s="6"/>
      <c r="H798" s="6"/>
      <c r="I798" s="6"/>
      <c r="J798" s="6"/>
      <c r="K798" s="6"/>
      <c r="L798" s="6"/>
      <c r="M798" s="6"/>
      <c r="N798" s="6"/>
      <c r="O798" s="7"/>
      <c r="P798" s="6"/>
      <c r="Q798" s="6"/>
      <c r="R798" s="6"/>
      <c r="S798" s="6"/>
      <c r="T798" s="8"/>
    </row>
    <row r="799" spans="1:20" x14ac:dyDescent="0.3">
      <c r="A799" s="1"/>
      <c r="B799" s="2"/>
      <c r="C799" s="2"/>
      <c r="D799" s="2"/>
      <c r="E799" s="2"/>
      <c r="F799" s="2"/>
      <c r="G799" s="2"/>
      <c r="H799" s="2"/>
      <c r="I799" s="2"/>
      <c r="J799" s="2"/>
      <c r="K799" s="2"/>
      <c r="L799" s="2"/>
      <c r="M799" s="2"/>
      <c r="N799" s="2"/>
      <c r="O799" s="2"/>
      <c r="P799" s="2"/>
      <c r="Q799" s="2"/>
      <c r="R799" s="2"/>
      <c r="S799" s="2"/>
      <c r="T799" s="4"/>
    </row>
    <row r="800" spans="1:20" x14ac:dyDescent="0.3">
      <c r="A800" s="5"/>
      <c r="B800" s="6"/>
      <c r="C800" s="6"/>
      <c r="D800" s="6"/>
      <c r="E800" s="6"/>
      <c r="F800" s="6"/>
      <c r="G800" s="6"/>
      <c r="H800" s="6"/>
      <c r="I800" s="6"/>
      <c r="J800" s="6"/>
      <c r="K800" s="6"/>
      <c r="L800" s="6"/>
      <c r="M800" s="6"/>
      <c r="N800" s="6"/>
      <c r="O800" s="6"/>
      <c r="P800" s="6"/>
      <c r="Q800" s="6"/>
      <c r="R800" s="6"/>
      <c r="S800" s="6"/>
      <c r="T800" s="8"/>
    </row>
    <row r="801" spans="1:20" x14ac:dyDescent="0.3">
      <c r="A801" s="1"/>
      <c r="B801" s="2"/>
      <c r="C801" s="2"/>
      <c r="D801" s="2"/>
      <c r="E801" s="2"/>
      <c r="F801" s="2"/>
      <c r="G801" s="2"/>
      <c r="H801" s="2"/>
      <c r="I801" s="2"/>
      <c r="J801" s="2"/>
      <c r="K801" s="2"/>
      <c r="L801" s="2"/>
      <c r="M801" s="2"/>
      <c r="N801" s="2"/>
      <c r="O801" s="2"/>
      <c r="P801" s="2"/>
      <c r="Q801" s="2"/>
      <c r="R801" s="2"/>
      <c r="S801" s="2"/>
      <c r="T801" s="4"/>
    </row>
    <row r="802" spans="1:20" x14ac:dyDescent="0.3">
      <c r="A802" s="5"/>
      <c r="B802" s="6"/>
      <c r="C802" s="6"/>
      <c r="D802" s="6"/>
      <c r="E802" s="6"/>
      <c r="F802" s="6"/>
      <c r="G802" s="6"/>
      <c r="H802" s="6"/>
      <c r="I802" s="6"/>
      <c r="J802" s="6"/>
      <c r="K802" s="6"/>
      <c r="L802" s="6"/>
      <c r="M802" s="6"/>
      <c r="N802" s="6"/>
      <c r="O802" s="6"/>
      <c r="P802" s="6"/>
      <c r="Q802" s="6"/>
      <c r="R802" s="6"/>
      <c r="S802" s="6"/>
      <c r="T802" s="8"/>
    </row>
    <row r="803" spans="1:20" x14ac:dyDescent="0.3">
      <c r="A803" s="1"/>
      <c r="B803" s="2"/>
      <c r="C803" s="2"/>
      <c r="D803" s="2"/>
      <c r="E803" s="2"/>
      <c r="F803" s="2"/>
      <c r="G803" s="2"/>
      <c r="H803" s="2"/>
      <c r="I803" s="2"/>
      <c r="J803" s="2"/>
      <c r="K803" s="2"/>
      <c r="L803" s="2"/>
      <c r="M803" s="2"/>
      <c r="N803" s="2"/>
      <c r="O803" s="2"/>
      <c r="P803" s="2"/>
      <c r="Q803" s="2"/>
      <c r="R803" s="2"/>
      <c r="S803" s="2"/>
      <c r="T803" s="4"/>
    </row>
    <row r="804" spans="1:20" x14ac:dyDescent="0.3">
      <c r="A804" s="5"/>
      <c r="B804" s="6"/>
      <c r="C804" s="6"/>
      <c r="D804" s="6"/>
      <c r="E804" s="6"/>
      <c r="F804" s="6"/>
      <c r="G804" s="6"/>
      <c r="H804" s="6"/>
      <c r="I804" s="6"/>
      <c r="J804" s="6"/>
      <c r="K804" s="6"/>
      <c r="L804" s="6"/>
      <c r="M804" s="6"/>
      <c r="N804" s="6"/>
      <c r="O804" s="6"/>
      <c r="P804" s="6"/>
      <c r="Q804" s="6"/>
      <c r="R804" s="6"/>
      <c r="S804" s="6"/>
      <c r="T804" s="8"/>
    </row>
    <row r="805" spans="1:20" x14ac:dyDescent="0.3">
      <c r="A805" s="1"/>
      <c r="B805" s="2"/>
      <c r="C805" s="2"/>
      <c r="D805" s="2"/>
      <c r="E805" s="2"/>
      <c r="F805" s="2"/>
      <c r="G805" s="2"/>
      <c r="H805" s="2"/>
      <c r="I805" s="2"/>
      <c r="J805" s="2"/>
      <c r="K805" s="2"/>
      <c r="L805" s="2"/>
      <c r="M805" s="2"/>
      <c r="N805" s="2"/>
      <c r="O805" s="2"/>
      <c r="P805" s="2"/>
      <c r="Q805" s="2"/>
      <c r="R805" s="2"/>
      <c r="S805" s="2"/>
      <c r="T805" s="4"/>
    </row>
    <row r="806" spans="1:20" x14ac:dyDescent="0.3">
      <c r="A806" s="5"/>
      <c r="B806" s="6"/>
      <c r="C806" s="6"/>
      <c r="D806" s="6"/>
      <c r="E806" s="6"/>
      <c r="F806" s="6"/>
      <c r="G806" s="6"/>
      <c r="H806" s="6"/>
      <c r="I806" s="6"/>
      <c r="J806" s="6"/>
      <c r="K806" s="6"/>
      <c r="L806" s="6"/>
      <c r="M806" s="6"/>
      <c r="N806" s="6"/>
      <c r="O806" s="7"/>
      <c r="P806" s="6"/>
      <c r="Q806" s="6"/>
      <c r="R806" s="6"/>
      <c r="S806" s="6"/>
      <c r="T806" s="8"/>
    </row>
    <row r="807" spans="1:20" x14ac:dyDescent="0.3">
      <c r="A807" s="1"/>
      <c r="B807" s="2"/>
      <c r="C807" s="2"/>
      <c r="D807" s="2"/>
      <c r="E807" s="2"/>
      <c r="F807" s="2"/>
      <c r="G807" s="2"/>
      <c r="H807" s="2"/>
      <c r="I807" s="2"/>
      <c r="J807" s="2"/>
      <c r="K807" s="2"/>
      <c r="L807" s="2"/>
      <c r="M807" s="2"/>
      <c r="N807" s="2"/>
      <c r="O807" s="3"/>
      <c r="P807" s="2"/>
      <c r="Q807" s="2"/>
      <c r="R807" s="2"/>
      <c r="S807" s="2"/>
      <c r="T807" s="4"/>
    </row>
    <row r="808" spans="1:20" x14ac:dyDescent="0.3">
      <c r="A808" s="5"/>
      <c r="B808" s="6"/>
      <c r="C808" s="6"/>
      <c r="D808" s="6"/>
      <c r="E808" s="6"/>
      <c r="F808" s="6"/>
      <c r="G808" s="6"/>
      <c r="H808" s="6"/>
      <c r="I808" s="6"/>
      <c r="J808" s="6"/>
      <c r="K808" s="6"/>
      <c r="L808" s="6"/>
      <c r="M808" s="6"/>
      <c r="N808" s="6"/>
      <c r="O808" s="6"/>
      <c r="P808" s="6"/>
      <c r="Q808" s="6"/>
      <c r="R808" s="6"/>
      <c r="S808" s="6"/>
      <c r="T808" s="8"/>
    </row>
    <row r="809" spans="1:20" x14ac:dyDescent="0.3">
      <c r="A809" s="1"/>
      <c r="B809" s="2"/>
      <c r="C809" s="2"/>
      <c r="D809" s="2"/>
      <c r="E809" s="2"/>
      <c r="F809" s="2"/>
      <c r="G809" s="2"/>
      <c r="H809" s="2"/>
      <c r="I809" s="2"/>
      <c r="J809" s="2"/>
      <c r="K809" s="2"/>
      <c r="L809" s="2"/>
      <c r="M809" s="2"/>
      <c r="N809" s="2"/>
      <c r="O809" s="3"/>
      <c r="P809" s="2"/>
      <c r="Q809" s="2"/>
      <c r="R809" s="2"/>
      <c r="S809" s="2"/>
      <c r="T809" s="4"/>
    </row>
    <row r="810" spans="1:20" x14ac:dyDescent="0.3">
      <c r="A810" s="5"/>
      <c r="B810" s="6"/>
      <c r="C810" s="6"/>
      <c r="D810" s="6"/>
      <c r="E810" s="6"/>
      <c r="F810" s="6"/>
      <c r="G810" s="6"/>
      <c r="H810" s="6"/>
      <c r="I810" s="6"/>
      <c r="J810" s="6"/>
      <c r="K810" s="6"/>
      <c r="L810" s="6"/>
      <c r="M810" s="6"/>
      <c r="N810" s="6"/>
      <c r="O810" s="6"/>
      <c r="P810" s="6"/>
      <c r="Q810" s="6"/>
      <c r="R810" s="6"/>
      <c r="S810" s="6"/>
      <c r="T810" s="8"/>
    </row>
    <row r="811" spans="1:20" x14ac:dyDescent="0.3">
      <c r="A811" s="1"/>
      <c r="B811" s="2"/>
      <c r="C811" s="2"/>
      <c r="D811" s="2"/>
      <c r="E811" s="2"/>
      <c r="F811" s="2"/>
      <c r="G811" s="2"/>
      <c r="H811" s="2"/>
      <c r="I811" s="2"/>
      <c r="J811" s="2"/>
      <c r="K811" s="2"/>
      <c r="L811" s="2"/>
      <c r="M811" s="2"/>
      <c r="N811" s="2"/>
      <c r="O811" s="2"/>
      <c r="P811" s="2"/>
      <c r="Q811" s="2"/>
      <c r="R811" s="2"/>
      <c r="S811" s="2"/>
      <c r="T811" s="4"/>
    </row>
    <row r="812" spans="1:20" x14ac:dyDescent="0.3">
      <c r="A812" s="5"/>
      <c r="B812" s="6"/>
      <c r="C812" s="6"/>
      <c r="D812" s="6"/>
      <c r="E812" s="6"/>
      <c r="F812" s="6"/>
      <c r="G812" s="6"/>
      <c r="H812" s="6"/>
      <c r="I812" s="6"/>
      <c r="J812" s="6"/>
      <c r="K812" s="6"/>
      <c r="L812" s="6"/>
      <c r="M812" s="6"/>
      <c r="N812" s="6"/>
      <c r="O812" s="7"/>
      <c r="P812" s="6"/>
      <c r="Q812" s="6"/>
      <c r="R812" s="6"/>
      <c r="S812" s="6"/>
      <c r="T812" s="8"/>
    </row>
    <row r="813" spans="1:20" x14ac:dyDescent="0.3">
      <c r="A813" s="1"/>
      <c r="B813" s="2"/>
      <c r="C813" s="2"/>
      <c r="D813" s="2"/>
      <c r="E813" s="2"/>
      <c r="F813" s="2"/>
      <c r="G813" s="2"/>
      <c r="H813" s="2"/>
      <c r="I813" s="2"/>
      <c r="J813" s="2"/>
      <c r="K813" s="2"/>
      <c r="L813" s="2"/>
      <c r="M813" s="2"/>
      <c r="N813" s="2"/>
      <c r="O813" s="3"/>
      <c r="P813" s="2"/>
      <c r="Q813" s="2"/>
      <c r="R813" s="2"/>
      <c r="S813" s="2"/>
      <c r="T813" s="4"/>
    </row>
    <row r="814" spans="1:20" x14ac:dyDescent="0.3">
      <c r="A814" s="5"/>
      <c r="B814" s="6"/>
      <c r="C814" s="6"/>
      <c r="D814" s="6"/>
      <c r="E814" s="6"/>
      <c r="F814" s="6"/>
      <c r="G814" s="6"/>
      <c r="H814" s="6"/>
      <c r="I814" s="6"/>
      <c r="J814" s="6"/>
      <c r="K814" s="6"/>
      <c r="L814" s="6"/>
      <c r="M814" s="6"/>
      <c r="N814" s="6"/>
      <c r="O814" s="6"/>
      <c r="P814" s="6"/>
      <c r="Q814" s="6"/>
      <c r="R814" s="6"/>
      <c r="S814" s="6"/>
      <c r="T814" s="8"/>
    </row>
    <row r="815" spans="1:20" x14ac:dyDescent="0.3">
      <c r="A815" s="1"/>
      <c r="B815" s="2"/>
      <c r="C815" s="2"/>
      <c r="D815" s="2"/>
      <c r="E815" s="2"/>
      <c r="F815" s="2"/>
      <c r="G815" s="2"/>
      <c r="H815" s="2"/>
      <c r="I815" s="2"/>
      <c r="J815" s="2"/>
      <c r="K815" s="2"/>
      <c r="L815" s="2"/>
      <c r="M815" s="2"/>
      <c r="N815" s="2"/>
      <c r="O815" s="2"/>
      <c r="P815" s="2"/>
      <c r="Q815" s="2"/>
      <c r="R815" s="2"/>
      <c r="S815" s="2"/>
      <c r="T815" s="4"/>
    </row>
    <row r="816" spans="1:20" x14ac:dyDescent="0.3">
      <c r="A816" s="5"/>
      <c r="B816" s="6"/>
      <c r="C816" s="6"/>
      <c r="D816" s="6"/>
      <c r="E816" s="6"/>
      <c r="F816" s="6"/>
      <c r="G816" s="6"/>
      <c r="H816" s="6"/>
      <c r="I816" s="6"/>
      <c r="J816" s="6"/>
      <c r="K816" s="6"/>
      <c r="L816" s="6"/>
      <c r="M816" s="6"/>
      <c r="N816" s="6"/>
      <c r="O816" s="6"/>
      <c r="P816" s="6"/>
      <c r="Q816" s="6"/>
      <c r="R816" s="6"/>
      <c r="S816" s="6"/>
      <c r="T816" s="8"/>
    </row>
    <row r="817" spans="1:20" x14ac:dyDescent="0.3">
      <c r="A817" s="1"/>
      <c r="B817" s="2"/>
      <c r="C817" s="2"/>
      <c r="D817" s="2"/>
      <c r="E817" s="2"/>
      <c r="F817" s="2"/>
      <c r="G817" s="2"/>
      <c r="H817" s="2"/>
      <c r="I817" s="2"/>
      <c r="J817" s="2"/>
      <c r="K817" s="2"/>
      <c r="L817" s="2"/>
      <c r="M817" s="2"/>
      <c r="N817" s="2"/>
      <c r="O817" s="2"/>
      <c r="P817" s="2"/>
      <c r="Q817" s="2"/>
      <c r="R817" s="2"/>
      <c r="S817" s="2"/>
      <c r="T817" s="4"/>
    </row>
    <row r="818" spans="1:20" x14ac:dyDescent="0.3">
      <c r="A818" s="5"/>
      <c r="B818" s="6"/>
      <c r="C818" s="6"/>
      <c r="D818" s="6"/>
      <c r="E818" s="6"/>
      <c r="F818" s="6"/>
      <c r="G818" s="6"/>
      <c r="H818" s="6"/>
      <c r="I818" s="6"/>
      <c r="J818" s="6"/>
      <c r="K818" s="6"/>
      <c r="L818" s="6"/>
      <c r="M818" s="6"/>
      <c r="N818" s="6"/>
      <c r="O818" s="6"/>
      <c r="P818" s="6"/>
      <c r="Q818" s="6"/>
      <c r="R818" s="6"/>
      <c r="S818" s="6"/>
      <c r="T818" s="8"/>
    </row>
    <row r="819" spans="1:20" x14ac:dyDescent="0.3">
      <c r="A819" s="1"/>
      <c r="B819" s="2"/>
      <c r="C819" s="2"/>
      <c r="D819" s="2"/>
      <c r="E819" s="2"/>
      <c r="F819" s="2"/>
      <c r="G819" s="2"/>
      <c r="H819" s="2"/>
      <c r="I819" s="2"/>
      <c r="J819" s="2"/>
      <c r="K819" s="2"/>
      <c r="L819" s="2"/>
      <c r="M819" s="2"/>
      <c r="N819" s="2"/>
      <c r="O819" s="2"/>
      <c r="P819" s="2"/>
      <c r="Q819" s="2"/>
      <c r="R819" s="2"/>
      <c r="S819" s="2"/>
      <c r="T819" s="4"/>
    </row>
    <row r="820" spans="1:20" x14ac:dyDescent="0.3">
      <c r="A820" s="5"/>
      <c r="B820" s="6"/>
      <c r="C820" s="6"/>
      <c r="D820" s="6"/>
      <c r="E820" s="6"/>
      <c r="F820" s="6"/>
      <c r="G820" s="6"/>
      <c r="H820" s="6"/>
      <c r="I820" s="6"/>
      <c r="J820" s="6"/>
      <c r="K820" s="6"/>
      <c r="L820" s="6"/>
      <c r="M820" s="6"/>
      <c r="N820" s="6"/>
      <c r="O820" s="6"/>
      <c r="P820" s="6"/>
      <c r="Q820" s="6"/>
      <c r="R820" s="6"/>
      <c r="S820" s="6"/>
      <c r="T820" s="8"/>
    </row>
    <row r="821" spans="1:20" x14ac:dyDescent="0.3">
      <c r="A821" s="1"/>
      <c r="B821" s="2"/>
      <c r="C821" s="2"/>
      <c r="D821" s="2"/>
      <c r="E821" s="2"/>
      <c r="F821" s="2"/>
      <c r="G821" s="2"/>
      <c r="H821" s="2"/>
      <c r="I821" s="2"/>
      <c r="J821" s="2"/>
      <c r="K821" s="2"/>
      <c r="L821" s="2"/>
      <c r="M821" s="2"/>
      <c r="N821" s="2"/>
      <c r="O821" s="2"/>
      <c r="P821" s="2"/>
      <c r="Q821" s="2"/>
      <c r="R821" s="2"/>
      <c r="S821" s="2"/>
      <c r="T821" s="4"/>
    </row>
    <row r="822" spans="1:20" x14ac:dyDescent="0.3">
      <c r="A822" s="5"/>
      <c r="B822" s="6"/>
      <c r="C822" s="6"/>
      <c r="D822" s="6"/>
      <c r="E822" s="6"/>
      <c r="F822" s="6"/>
      <c r="G822" s="6"/>
      <c r="H822" s="6"/>
      <c r="I822" s="6"/>
      <c r="J822" s="6"/>
      <c r="K822" s="6"/>
      <c r="L822" s="6"/>
      <c r="M822" s="6"/>
      <c r="N822" s="6"/>
      <c r="O822" s="6"/>
      <c r="P822" s="6"/>
      <c r="Q822" s="6"/>
      <c r="R822" s="6"/>
      <c r="S822" s="6"/>
      <c r="T822" s="8"/>
    </row>
    <row r="823" spans="1:20" x14ac:dyDescent="0.3">
      <c r="A823" s="1"/>
      <c r="B823" s="2"/>
      <c r="C823" s="2"/>
      <c r="D823" s="2"/>
      <c r="E823" s="2"/>
      <c r="F823" s="2"/>
      <c r="G823" s="2"/>
      <c r="H823" s="2"/>
      <c r="I823" s="2"/>
      <c r="J823" s="2"/>
      <c r="K823" s="2"/>
      <c r="L823" s="2"/>
      <c r="M823" s="2"/>
      <c r="N823" s="2"/>
      <c r="O823" s="2"/>
      <c r="P823" s="2"/>
      <c r="Q823" s="2"/>
      <c r="R823" s="2"/>
      <c r="S823" s="2"/>
      <c r="T823" s="4"/>
    </row>
    <row r="824" spans="1:20" x14ac:dyDescent="0.3">
      <c r="A824" s="5"/>
      <c r="B824" s="6"/>
      <c r="C824" s="6"/>
      <c r="D824" s="6"/>
      <c r="E824" s="6"/>
      <c r="F824" s="6"/>
      <c r="G824" s="6"/>
      <c r="H824" s="6"/>
      <c r="I824" s="6"/>
      <c r="J824" s="6"/>
      <c r="K824" s="6"/>
      <c r="L824" s="6"/>
      <c r="M824" s="6"/>
      <c r="N824" s="6"/>
      <c r="O824" s="6"/>
      <c r="P824" s="6"/>
      <c r="Q824" s="6"/>
      <c r="R824" s="6"/>
      <c r="S824" s="6"/>
      <c r="T824" s="8"/>
    </row>
    <row r="825" spans="1:20" x14ac:dyDescent="0.3">
      <c r="A825" s="1"/>
      <c r="B825" s="2"/>
      <c r="C825" s="2"/>
      <c r="D825" s="2"/>
      <c r="E825" s="2"/>
      <c r="F825" s="2"/>
      <c r="G825" s="2"/>
      <c r="H825" s="2"/>
      <c r="I825" s="2"/>
      <c r="J825" s="2"/>
      <c r="K825" s="2"/>
      <c r="L825" s="2"/>
      <c r="M825" s="2"/>
      <c r="N825" s="2"/>
      <c r="O825" s="2"/>
      <c r="P825" s="2"/>
      <c r="Q825" s="2"/>
      <c r="R825" s="2"/>
      <c r="S825" s="2"/>
      <c r="T825" s="4"/>
    </row>
    <row r="826" spans="1:20" x14ac:dyDescent="0.3">
      <c r="A826" s="5"/>
      <c r="B826" s="6"/>
      <c r="C826" s="6"/>
      <c r="D826" s="6"/>
      <c r="E826" s="6"/>
      <c r="F826" s="6"/>
      <c r="G826" s="6"/>
      <c r="H826" s="6"/>
      <c r="I826" s="6"/>
      <c r="J826" s="6"/>
      <c r="K826" s="6"/>
      <c r="L826" s="6"/>
      <c r="M826" s="6"/>
      <c r="N826" s="6"/>
      <c r="O826" s="6"/>
      <c r="P826" s="6"/>
      <c r="Q826" s="6"/>
      <c r="R826" s="6"/>
      <c r="S826" s="6"/>
      <c r="T826" s="8"/>
    </row>
    <row r="827" spans="1:20" x14ac:dyDescent="0.3">
      <c r="A827" s="1"/>
      <c r="B827" s="2"/>
      <c r="C827" s="2"/>
      <c r="D827" s="2"/>
      <c r="E827" s="2"/>
      <c r="F827" s="2"/>
      <c r="G827" s="2"/>
      <c r="H827" s="2"/>
      <c r="I827" s="2"/>
      <c r="J827" s="2"/>
      <c r="K827" s="2"/>
      <c r="L827" s="2"/>
      <c r="M827" s="2"/>
      <c r="N827" s="2"/>
      <c r="O827" s="2"/>
      <c r="P827" s="2"/>
      <c r="Q827" s="2"/>
      <c r="R827" s="2"/>
      <c r="S827" s="2"/>
      <c r="T827" s="4"/>
    </row>
    <row r="828" spans="1:20" x14ac:dyDescent="0.3">
      <c r="A828" s="5"/>
      <c r="B828" s="6"/>
      <c r="C828" s="6"/>
      <c r="D828" s="6"/>
      <c r="E828" s="6"/>
      <c r="F828" s="6"/>
      <c r="G828" s="6"/>
      <c r="H828" s="6"/>
      <c r="I828" s="6"/>
      <c r="J828" s="6"/>
      <c r="K828" s="6"/>
      <c r="L828" s="6"/>
      <c r="M828" s="6"/>
      <c r="N828" s="6"/>
      <c r="O828" s="6"/>
      <c r="P828" s="6"/>
      <c r="Q828" s="6"/>
      <c r="R828" s="6"/>
      <c r="S828" s="6"/>
      <c r="T828" s="8"/>
    </row>
    <row r="829" spans="1:20" x14ac:dyDescent="0.3">
      <c r="A829" s="1"/>
      <c r="B829" s="2"/>
      <c r="C829" s="2"/>
      <c r="D829" s="2"/>
      <c r="E829" s="2"/>
      <c r="F829" s="2"/>
      <c r="G829" s="2"/>
      <c r="H829" s="2"/>
      <c r="I829" s="2"/>
      <c r="J829" s="2"/>
      <c r="K829" s="2"/>
      <c r="L829" s="2"/>
      <c r="M829" s="2"/>
      <c r="N829" s="2"/>
      <c r="O829" s="2"/>
      <c r="P829" s="2"/>
      <c r="Q829" s="2"/>
      <c r="R829" s="2"/>
      <c r="S829" s="2"/>
      <c r="T829" s="4"/>
    </row>
    <row r="830" spans="1:20" x14ac:dyDescent="0.3">
      <c r="A830" s="5"/>
      <c r="B830" s="6"/>
      <c r="C830" s="6"/>
      <c r="D830" s="6"/>
      <c r="E830" s="6"/>
      <c r="F830" s="6"/>
      <c r="G830" s="6"/>
      <c r="H830" s="6"/>
      <c r="I830" s="6"/>
      <c r="J830" s="6"/>
      <c r="K830" s="6"/>
      <c r="L830" s="6"/>
      <c r="M830" s="6"/>
      <c r="N830" s="6"/>
      <c r="O830" s="6"/>
      <c r="P830" s="6"/>
      <c r="Q830" s="6"/>
      <c r="R830" s="6"/>
      <c r="S830" s="6"/>
      <c r="T830" s="8"/>
    </row>
    <row r="831" spans="1:20" x14ac:dyDescent="0.3">
      <c r="A831" s="1"/>
      <c r="B831" s="2"/>
      <c r="C831" s="2"/>
      <c r="D831" s="2"/>
      <c r="E831" s="2"/>
      <c r="F831" s="2"/>
      <c r="G831" s="2"/>
      <c r="H831" s="2"/>
      <c r="I831" s="2"/>
      <c r="J831" s="2"/>
      <c r="K831" s="2"/>
      <c r="L831" s="2"/>
      <c r="M831" s="2"/>
      <c r="N831" s="2"/>
      <c r="O831" s="2"/>
      <c r="P831" s="2"/>
      <c r="Q831" s="2"/>
      <c r="R831" s="2"/>
      <c r="S831" s="2"/>
      <c r="T831" s="4"/>
    </row>
    <row r="832" spans="1:20" x14ac:dyDescent="0.3">
      <c r="A832" s="5"/>
      <c r="B832" s="6"/>
      <c r="C832" s="6"/>
      <c r="D832" s="6"/>
      <c r="E832" s="6"/>
      <c r="F832" s="6"/>
      <c r="G832" s="6"/>
      <c r="H832" s="6"/>
      <c r="I832" s="6"/>
      <c r="J832" s="6"/>
      <c r="K832" s="6"/>
      <c r="L832" s="6"/>
      <c r="M832" s="6"/>
      <c r="N832" s="6"/>
      <c r="O832" s="6"/>
      <c r="P832" s="6"/>
      <c r="Q832" s="6"/>
      <c r="R832" s="6"/>
      <c r="S832" s="6"/>
      <c r="T832" s="8"/>
    </row>
    <row r="833" spans="1:20" x14ac:dyDescent="0.3">
      <c r="A833" s="1"/>
      <c r="B833" s="2"/>
      <c r="C833" s="2"/>
      <c r="D833" s="2"/>
      <c r="E833" s="2"/>
      <c r="F833" s="2"/>
      <c r="G833" s="2"/>
      <c r="H833" s="2"/>
      <c r="I833" s="2"/>
      <c r="J833" s="2"/>
      <c r="K833" s="2"/>
      <c r="L833" s="2"/>
      <c r="M833" s="2"/>
      <c r="N833" s="2"/>
      <c r="O833" s="2"/>
      <c r="P833" s="2"/>
      <c r="Q833" s="2"/>
      <c r="R833" s="2"/>
      <c r="S833" s="2"/>
      <c r="T833" s="4"/>
    </row>
    <row r="834" spans="1:20" x14ac:dyDescent="0.3">
      <c r="A834" s="5"/>
      <c r="B834" s="6"/>
      <c r="C834" s="6"/>
      <c r="D834" s="6"/>
      <c r="E834" s="6"/>
      <c r="F834" s="6"/>
      <c r="G834" s="6"/>
      <c r="H834" s="6"/>
      <c r="I834" s="6"/>
      <c r="J834" s="6"/>
      <c r="K834" s="6"/>
      <c r="L834" s="6"/>
      <c r="M834" s="6"/>
      <c r="N834" s="6"/>
      <c r="O834" s="6"/>
      <c r="P834" s="6"/>
      <c r="Q834" s="6"/>
      <c r="R834" s="6"/>
      <c r="S834" s="6"/>
      <c r="T834" s="8"/>
    </row>
    <row r="835" spans="1:20" x14ac:dyDescent="0.3">
      <c r="A835" s="1"/>
      <c r="B835" s="2"/>
      <c r="C835" s="2"/>
      <c r="D835" s="2"/>
      <c r="E835" s="2"/>
      <c r="F835" s="2"/>
      <c r="G835" s="2"/>
      <c r="H835" s="2"/>
      <c r="I835" s="2"/>
      <c r="J835" s="2"/>
      <c r="K835" s="2"/>
      <c r="L835" s="2"/>
      <c r="M835" s="2"/>
      <c r="N835" s="2"/>
      <c r="O835" s="2"/>
      <c r="P835" s="2"/>
      <c r="Q835" s="2"/>
      <c r="R835" s="2"/>
      <c r="S835" s="2"/>
      <c r="T835" s="4"/>
    </row>
    <row r="836" spans="1:20" x14ac:dyDescent="0.3">
      <c r="A836" s="5"/>
      <c r="B836" s="6"/>
      <c r="C836" s="6"/>
      <c r="D836" s="6"/>
      <c r="E836" s="6"/>
      <c r="F836" s="6"/>
      <c r="G836" s="6"/>
      <c r="H836" s="6"/>
      <c r="I836" s="6"/>
      <c r="J836" s="6"/>
      <c r="K836" s="6"/>
      <c r="L836" s="6"/>
      <c r="M836" s="6"/>
      <c r="N836" s="6"/>
      <c r="O836" s="6"/>
      <c r="P836" s="6"/>
      <c r="Q836" s="6"/>
      <c r="R836" s="6"/>
      <c r="S836" s="6"/>
      <c r="T836" s="8"/>
    </row>
    <row r="837" spans="1:20" x14ac:dyDescent="0.3">
      <c r="A837" s="1"/>
      <c r="B837" s="2"/>
      <c r="C837" s="2"/>
      <c r="D837" s="2"/>
      <c r="E837" s="2"/>
      <c r="F837" s="2"/>
      <c r="G837" s="2"/>
      <c r="H837" s="2"/>
      <c r="I837" s="2"/>
      <c r="J837" s="2"/>
      <c r="K837" s="2"/>
      <c r="L837" s="2"/>
      <c r="M837" s="2"/>
      <c r="N837" s="2"/>
      <c r="O837" s="3"/>
      <c r="P837" s="2"/>
      <c r="Q837" s="2"/>
      <c r="R837" s="2"/>
      <c r="S837" s="2"/>
      <c r="T837" s="4"/>
    </row>
    <row r="838" spans="1:20" x14ac:dyDescent="0.3">
      <c r="A838" s="5"/>
      <c r="B838" s="6"/>
      <c r="C838" s="6"/>
      <c r="D838" s="6"/>
      <c r="E838" s="6"/>
      <c r="F838" s="6"/>
      <c r="G838" s="6"/>
      <c r="H838" s="6"/>
      <c r="I838" s="6"/>
      <c r="J838" s="6"/>
      <c r="K838" s="6"/>
      <c r="L838" s="6"/>
      <c r="M838" s="6"/>
      <c r="N838" s="6"/>
      <c r="O838" s="6"/>
      <c r="P838" s="6"/>
      <c r="Q838" s="6"/>
      <c r="R838" s="6"/>
      <c r="S838" s="6"/>
      <c r="T838" s="8"/>
    </row>
    <row r="839" spans="1:20" x14ac:dyDescent="0.3">
      <c r="A839" s="1"/>
      <c r="B839" s="2"/>
      <c r="C839" s="2"/>
      <c r="D839" s="2"/>
      <c r="E839" s="2"/>
      <c r="F839" s="2"/>
      <c r="G839" s="2"/>
      <c r="H839" s="2"/>
      <c r="I839" s="2"/>
      <c r="J839" s="2"/>
      <c r="K839" s="2"/>
      <c r="L839" s="2"/>
      <c r="M839" s="2"/>
      <c r="N839" s="2"/>
      <c r="O839" s="2"/>
      <c r="P839" s="2"/>
      <c r="Q839" s="2"/>
      <c r="R839" s="2"/>
      <c r="S839" s="2"/>
      <c r="T839" s="4"/>
    </row>
    <row r="840" spans="1:20" x14ac:dyDescent="0.3">
      <c r="A840" s="5"/>
      <c r="B840" s="6"/>
      <c r="C840" s="6"/>
      <c r="D840" s="6"/>
      <c r="E840" s="6"/>
      <c r="F840" s="6"/>
      <c r="G840" s="6"/>
      <c r="H840" s="6"/>
      <c r="I840" s="6"/>
      <c r="J840" s="6"/>
      <c r="K840" s="6"/>
      <c r="L840" s="6"/>
      <c r="M840" s="6"/>
      <c r="N840" s="6"/>
      <c r="O840" s="6"/>
      <c r="P840" s="6"/>
      <c r="Q840" s="6"/>
      <c r="R840" s="6"/>
      <c r="S840" s="6"/>
      <c r="T840" s="8"/>
    </row>
    <row r="841" spans="1:20" x14ac:dyDescent="0.3">
      <c r="A841" s="1"/>
      <c r="B841" s="2"/>
      <c r="C841" s="2"/>
      <c r="D841" s="2"/>
      <c r="E841" s="2"/>
      <c r="F841" s="2"/>
      <c r="G841" s="2"/>
      <c r="H841" s="2"/>
      <c r="I841" s="2"/>
      <c r="J841" s="2"/>
      <c r="K841" s="2"/>
      <c r="L841" s="2"/>
      <c r="M841" s="2"/>
      <c r="N841" s="2"/>
      <c r="O841" s="3"/>
      <c r="P841" s="2"/>
      <c r="Q841" s="2"/>
      <c r="R841" s="2"/>
      <c r="S841" s="2"/>
      <c r="T841" s="4"/>
    </row>
    <row r="842" spans="1:20" x14ac:dyDescent="0.3">
      <c r="A842" s="5"/>
      <c r="B842" s="6"/>
      <c r="C842" s="6"/>
      <c r="D842" s="6"/>
      <c r="E842" s="6"/>
      <c r="F842" s="6"/>
      <c r="G842" s="6"/>
      <c r="H842" s="6"/>
      <c r="I842" s="6"/>
      <c r="J842" s="6"/>
      <c r="K842" s="6"/>
      <c r="L842" s="6"/>
      <c r="M842" s="6"/>
      <c r="N842" s="6"/>
      <c r="O842" s="7"/>
      <c r="P842" s="6"/>
      <c r="Q842" s="6"/>
      <c r="R842" s="6"/>
      <c r="S842" s="6"/>
      <c r="T842" s="8"/>
    </row>
    <row r="843" spans="1:20" x14ac:dyDescent="0.3">
      <c r="A843" s="1"/>
      <c r="B843" s="2"/>
      <c r="C843" s="2"/>
      <c r="D843" s="2"/>
      <c r="E843" s="2"/>
      <c r="F843" s="2"/>
      <c r="G843" s="2"/>
      <c r="H843" s="2"/>
      <c r="I843" s="2"/>
      <c r="J843" s="2"/>
      <c r="K843" s="2"/>
      <c r="L843" s="2"/>
      <c r="M843" s="2"/>
      <c r="N843" s="2"/>
      <c r="O843" s="2"/>
      <c r="P843" s="2"/>
      <c r="Q843" s="2"/>
      <c r="R843" s="2"/>
      <c r="S843" s="2"/>
      <c r="T843" s="4"/>
    </row>
    <row r="844" spans="1:20" x14ac:dyDescent="0.3">
      <c r="A844" s="5"/>
      <c r="B844" s="6"/>
      <c r="C844" s="6"/>
      <c r="D844" s="6"/>
      <c r="E844" s="6"/>
      <c r="F844" s="6"/>
      <c r="G844" s="6"/>
      <c r="H844" s="6"/>
      <c r="I844" s="6"/>
      <c r="J844" s="6"/>
      <c r="K844" s="6"/>
      <c r="L844" s="6"/>
      <c r="M844" s="6"/>
      <c r="N844" s="6"/>
      <c r="O844" s="6"/>
      <c r="P844" s="6"/>
      <c r="Q844" s="6"/>
      <c r="R844" s="6"/>
      <c r="S844" s="6"/>
      <c r="T844" s="8"/>
    </row>
    <row r="845" spans="1:20" x14ac:dyDescent="0.3">
      <c r="A845" s="1"/>
      <c r="B845" s="2"/>
      <c r="C845" s="2"/>
      <c r="D845" s="2"/>
      <c r="E845" s="2"/>
      <c r="F845" s="2"/>
      <c r="G845" s="2"/>
      <c r="H845" s="2"/>
      <c r="I845" s="2"/>
      <c r="J845" s="2"/>
      <c r="K845" s="2"/>
      <c r="L845" s="2"/>
      <c r="M845" s="2"/>
      <c r="N845" s="2"/>
      <c r="O845" s="3"/>
      <c r="P845" s="2"/>
      <c r="Q845" s="2"/>
      <c r="R845" s="2"/>
      <c r="S845" s="2"/>
      <c r="T845" s="4"/>
    </row>
    <row r="846" spans="1:20" x14ac:dyDescent="0.3">
      <c r="A846" s="5"/>
      <c r="B846" s="6"/>
      <c r="C846" s="6"/>
      <c r="D846" s="6"/>
      <c r="E846" s="6"/>
      <c r="F846" s="6"/>
      <c r="G846" s="6"/>
      <c r="H846" s="6"/>
      <c r="I846" s="6"/>
      <c r="J846" s="6"/>
      <c r="K846" s="6"/>
      <c r="L846" s="6"/>
      <c r="M846" s="6"/>
      <c r="N846" s="6"/>
      <c r="O846" s="6"/>
      <c r="P846" s="6"/>
      <c r="Q846" s="6"/>
      <c r="R846" s="6"/>
      <c r="S846" s="6"/>
      <c r="T846" s="8"/>
    </row>
    <row r="847" spans="1:20" x14ac:dyDescent="0.3">
      <c r="A847" s="1"/>
      <c r="B847" s="2"/>
      <c r="C847" s="2"/>
      <c r="D847" s="2"/>
      <c r="E847" s="2"/>
      <c r="F847" s="2"/>
      <c r="G847" s="2"/>
      <c r="H847" s="2"/>
      <c r="I847" s="2"/>
      <c r="J847" s="2"/>
      <c r="K847" s="2"/>
      <c r="L847" s="2"/>
      <c r="M847" s="2"/>
      <c r="N847" s="2"/>
      <c r="O847" s="3"/>
      <c r="P847" s="2"/>
      <c r="Q847" s="2"/>
      <c r="R847" s="2"/>
      <c r="S847" s="2"/>
      <c r="T847" s="4"/>
    </row>
    <row r="848" spans="1:20" x14ac:dyDescent="0.3">
      <c r="A848" s="5"/>
      <c r="B848" s="6"/>
      <c r="C848" s="6"/>
      <c r="D848" s="6"/>
      <c r="E848" s="6"/>
      <c r="F848" s="6"/>
      <c r="G848" s="6"/>
      <c r="H848" s="6"/>
      <c r="I848" s="6"/>
      <c r="J848" s="6"/>
      <c r="K848" s="6"/>
      <c r="L848" s="6"/>
      <c r="M848" s="6"/>
      <c r="N848" s="6"/>
      <c r="O848" s="6"/>
      <c r="P848" s="6"/>
      <c r="Q848" s="6"/>
      <c r="R848" s="6"/>
      <c r="S848" s="6"/>
      <c r="T848" s="8"/>
    </row>
    <row r="849" spans="1:20" x14ac:dyDescent="0.3">
      <c r="A849" s="1"/>
      <c r="B849" s="2"/>
      <c r="C849" s="2"/>
      <c r="D849" s="2"/>
      <c r="E849" s="2"/>
      <c r="F849" s="2"/>
      <c r="G849" s="2"/>
      <c r="H849" s="2"/>
      <c r="I849" s="2"/>
      <c r="J849" s="2"/>
      <c r="K849" s="2"/>
      <c r="L849" s="2"/>
      <c r="M849" s="2"/>
      <c r="N849" s="2"/>
      <c r="O849" s="3"/>
      <c r="P849" s="2"/>
      <c r="Q849" s="2"/>
      <c r="R849" s="2"/>
      <c r="S849" s="2"/>
      <c r="T849" s="4"/>
    </row>
    <row r="850" spans="1:20" x14ac:dyDescent="0.3">
      <c r="A850" s="5"/>
      <c r="B850" s="6"/>
      <c r="C850" s="6"/>
      <c r="D850" s="6"/>
      <c r="E850" s="6"/>
      <c r="F850" s="6"/>
      <c r="G850" s="6"/>
      <c r="H850" s="6"/>
      <c r="I850" s="6"/>
      <c r="J850" s="6"/>
      <c r="K850" s="6"/>
      <c r="L850" s="6"/>
      <c r="M850" s="6"/>
      <c r="N850" s="6"/>
      <c r="O850" s="7"/>
      <c r="P850" s="6"/>
      <c r="Q850" s="6"/>
      <c r="R850" s="6"/>
      <c r="S850" s="6"/>
      <c r="T850" s="8"/>
    </row>
    <row r="851" spans="1:20" x14ac:dyDescent="0.3">
      <c r="A851" s="1"/>
      <c r="B851" s="2"/>
      <c r="C851" s="2"/>
      <c r="D851" s="2"/>
      <c r="E851" s="2"/>
      <c r="F851" s="2"/>
      <c r="G851" s="2"/>
      <c r="H851" s="2"/>
      <c r="I851" s="2"/>
      <c r="J851" s="2"/>
      <c r="K851" s="2"/>
      <c r="L851" s="2"/>
      <c r="M851" s="2"/>
      <c r="N851" s="2"/>
      <c r="O851" s="2"/>
      <c r="P851" s="2"/>
      <c r="Q851" s="2"/>
      <c r="R851" s="2"/>
      <c r="S851" s="2"/>
      <c r="T851" s="4"/>
    </row>
    <row r="852" spans="1:20" x14ac:dyDescent="0.3">
      <c r="A852" s="5"/>
      <c r="B852" s="6"/>
      <c r="C852" s="6"/>
      <c r="D852" s="6"/>
      <c r="E852" s="6"/>
      <c r="F852" s="6"/>
      <c r="G852" s="6"/>
      <c r="H852" s="6"/>
      <c r="I852" s="6"/>
      <c r="J852" s="6"/>
      <c r="K852" s="6"/>
      <c r="L852" s="6"/>
      <c r="M852" s="6"/>
      <c r="N852" s="6"/>
      <c r="O852" s="7"/>
      <c r="P852" s="6"/>
      <c r="Q852" s="6"/>
      <c r="R852" s="6"/>
      <c r="S852" s="6"/>
      <c r="T852" s="8"/>
    </row>
    <row r="853" spans="1:20" x14ac:dyDescent="0.3">
      <c r="A853" s="1"/>
      <c r="B853" s="2"/>
      <c r="C853" s="2"/>
      <c r="D853" s="2"/>
      <c r="E853" s="2"/>
      <c r="F853" s="2"/>
      <c r="G853" s="2"/>
      <c r="H853" s="2"/>
      <c r="I853" s="2"/>
      <c r="J853" s="2"/>
      <c r="K853" s="2"/>
      <c r="L853" s="2"/>
      <c r="M853" s="2"/>
      <c r="N853" s="2"/>
      <c r="O853" s="2"/>
      <c r="P853" s="2"/>
      <c r="Q853" s="2"/>
      <c r="R853" s="2"/>
      <c r="S853" s="2"/>
      <c r="T853" s="4"/>
    </row>
    <row r="854" spans="1:20" x14ac:dyDescent="0.3">
      <c r="A854" s="5"/>
      <c r="B854" s="6"/>
      <c r="C854" s="6"/>
      <c r="D854" s="6"/>
      <c r="E854" s="6"/>
      <c r="F854" s="6"/>
      <c r="G854" s="6"/>
      <c r="H854" s="6"/>
      <c r="I854" s="6"/>
      <c r="J854" s="6"/>
      <c r="K854" s="6"/>
      <c r="L854" s="6"/>
      <c r="M854" s="6"/>
      <c r="N854" s="6"/>
      <c r="O854" s="6"/>
      <c r="P854" s="6"/>
      <c r="Q854" s="6"/>
      <c r="R854" s="6"/>
      <c r="S854" s="6"/>
      <c r="T854" s="8"/>
    </row>
    <row r="855" spans="1:20" x14ac:dyDescent="0.3">
      <c r="A855" s="1"/>
      <c r="B855" s="2"/>
      <c r="C855" s="2"/>
      <c r="D855" s="2"/>
      <c r="E855" s="2"/>
      <c r="F855" s="2"/>
      <c r="G855" s="2"/>
      <c r="H855" s="2"/>
      <c r="I855" s="2"/>
      <c r="J855" s="2"/>
      <c r="K855" s="2"/>
      <c r="L855" s="2"/>
      <c r="M855" s="2"/>
      <c r="N855" s="2"/>
      <c r="O855" s="2"/>
      <c r="P855" s="2"/>
      <c r="Q855" s="2"/>
      <c r="R855" s="2"/>
      <c r="S855" s="2"/>
      <c r="T855" s="4"/>
    </row>
    <row r="856" spans="1:20" x14ac:dyDescent="0.3">
      <c r="A856" s="5"/>
      <c r="B856" s="6"/>
      <c r="C856" s="6"/>
      <c r="D856" s="6"/>
      <c r="E856" s="6"/>
      <c r="F856" s="6"/>
      <c r="G856" s="6"/>
      <c r="H856" s="6"/>
      <c r="I856" s="6"/>
      <c r="J856" s="6"/>
      <c r="K856" s="6"/>
      <c r="L856" s="6"/>
      <c r="M856" s="6"/>
      <c r="N856" s="6"/>
      <c r="O856" s="6"/>
      <c r="P856" s="6"/>
      <c r="Q856" s="6"/>
      <c r="R856" s="6"/>
      <c r="S856" s="6"/>
      <c r="T856" s="8"/>
    </row>
    <row r="857" spans="1:20" x14ac:dyDescent="0.3">
      <c r="A857" s="1"/>
      <c r="B857" s="2"/>
      <c r="C857" s="2"/>
      <c r="D857" s="2"/>
      <c r="E857" s="2"/>
      <c r="F857" s="2"/>
      <c r="G857" s="2"/>
      <c r="H857" s="2"/>
      <c r="I857" s="2"/>
      <c r="J857" s="2"/>
      <c r="K857" s="2"/>
      <c r="L857" s="2"/>
      <c r="M857" s="2"/>
      <c r="N857" s="2"/>
      <c r="O857" s="2"/>
      <c r="P857" s="2"/>
      <c r="Q857" s="2"/>
      <c r="R857" s="2"/>
      <c r="S857" s="2"/>
      <c r="T857" s="4"/>
    </row>
    <row r="858" spans="1:20" x14ac:dyDescent="0.3">
      <c r="A858" s="5"/>
      <c r="B858" s="6"/>
      <c r="C858" s="6"/>
      <c r="D858" s="6"/>
      <c r="E858" s="6"/>
      <c r="F858" s="6"/>
      <c r="G858" s="6"/>
      <c r="H858" s="6"/>
      <c r="I858" s="6"/>
      <c r="J858" s="6"/>
      <c r="K858" s="6"/>
      <c r="L858" s="6"/>
      <c r="M858" s="6"/>
      <c r="N858" s="6"/>
      <c r="O858" s="6"/>
      <c r="P858" s="6"/>
      <c r="Q858" s="6"/>
      <c r="R858" s="6"/>
      <c r="S858" s="6"/>
      <c r="T858" s="8"/>
    </row>
    <row r="859" spans="1:20" x14ac:dyDescent="0.3">
      <c r="A859" s="1"/>
      <c r="B859" s="2"/>
      <c r="C859" s="2"/>
      <c r="D859" s="2"/>
      <c r="E859" s="2"/>
      <c r="F859" s="2"/>
      <c r="G859" s="2"/>
      <c r="H859" s="2"/>
      <c r="I859" s="2"/>
      <c r="J859" s="2"/>
      <c r="K859" s="2"/>
      <c r="L859" s="2"/>
      <c r="M859" s="2"/>
      <c r="N859" s="2"/>
      <c r="O859" s="2"/>
      <c r="P859" s="2"/>
      <c r="Q859" s="2"/>
      <c r="R859" s="2"/>
      <c r="S859" s="2"/>
      <c r="T859" s="4"/>
    </row>
    <row r="860" spans="1:20" x14ac:dyDescent="0.3">
      <c r="A860" s="5"/>
      <c r="B860" s="6"/>
      <c r="C860" s="6"/>
      <c r="D860" s="6"/>
      <c r="E860" s="6"/>
      <c r="F860" s="6"/>
      <c r="G860" s="6"/>
      <c r="H860" s="6"/>
      <c r="I860" s="6"/>
      <c r="J860" s="6"/>
      <c r="K860" s="6"/>
      <c r="L860" s="6"/>
      <c r="M860" s="6"/>
      <c r="N860" s="6"/>
      <c r="O860" s="6"/>
      <c r="P860" s="6"/>
      <c r="Q860" s="6"/>
      <c r="R860" s="6"/>
      <c r="S860" s="6"/>
      <c r="T860" s="8"/>
    </row>
    <row r="861" spans="1:20" x14ac:dyDescent="0.3">
      <c r="A861" s="1"/>
      <c r="B861" s="2"/>
      <c r="C861" s="2"/>
      <c r="D861" s="2"/>
      <c r="E861" s="2"/>
      <c r="F861" s="2"/>
      <c r="G861" s="2"/>
      <c r="H861" s="2"/>
      <c r="I861" s="2"/>
      <c r="J861" s="2"/>
      <c r="K861" s="2"/>
      <c r="L861" s="2"/>
      <c r="M861" s="2"/>
      <c r="N861" s="2"/>
      <c r="O861" s="2"/>
      <c r="P861" s="2"/>
      <c r="Q861" s="2"/>
      <c r="R861" s="2"/>
      <c r="S861" s="2"/>
      <c r="T861" s="4"/>
    </row>
    <row r="862" spans="1:20" x14ac:dyDescent="0.3">
      <c r="A862" s="5"/>
      <c r="B862" s="6"/>
      <c r="C862" s="6"/>
      <c r="D862" s="6"/>
      <c r="E862" s="6"/>
      <c r="F862" s="6"/>
      <c r="G862" s="6"/>
      <c r="H862" s="6"/>
      <c r="I862" s="6"/>
      <c r="J862" s="6"/>
      <c r="K862" s="6"/>
      <c r="L862" s="6"/>
      <c r="M862" s="6"/>
      <c r="N862" s="6"/>
      <c r="O862" s="6"/>
      <c r="P862" s="6"/>
      <c r="Q862" s="6"/>
      <c r="R862" s="6"/>
      <c r="S862" s="6"/>
      <c r="T862" s="8"/>
    </row>
    <row r="863" spans="1:20" x14ac:dyDescent="0.3">
      <c r="A863" s="1"/>
      <c r="B863" s="2"/>
      <c r="C863" s="2"/>
      <c r="D863" s="2"/>
      <c r="E863" s="2"/>
      <c r="F863" s="2"/>
      <c r="G863" s="2"/>
      <c r="H863" s="2"/>
      <c r="I863" s="2"/>
      <c r="J863" s="2"/>
      <c r="K863" s="2"/>
      <c r="L863" s="2"/>
      <c r="M863" s="2"/>
      <c r="N863" s="2"/>
      <c r="O863" s="2"/>
      <c r="P863" s="2"/>
      <c r="Q863" s="2"/>
      <c r="R863" s="2"/>
      <c r="S863" s="2"/>
      <c r="T863" s="4"/>
    </row>
    <row r="864" spans="1:20" x14ac:dyDescent="0.3">
      <c r="A864" s="5"/>
      <c r="B864" s="6"/>
      <c r="C864" s="6"/>
      <c r="D864" s="6"/>
      <c r="E864" s="6"/>
      <c r="F864" s="6"/>
      <c r="G864" s="6"/>
      <c r="H864" s="6"/>
      <c r="I864" s="6"/>
      <c r="J864" s="6"/>
      <c r="K864" s="6"/>
      <c r="L864" s="6"/>
      <c r="M864" s="6"/>
      <c r="N864" s="6"/>
      <c r="O864" s="7"/>
      <c r="P864" s="6"/>
      <c r="Q864" s="6"/>
      <c r="R864" s="6"/>
      <c r="S864" s="6"/>
      <c r="T864" s="8"/>
    </row>
    <row r="865" spans="1:20" x14ac:dyDescent="0.3">
      <c r="A865" s="1"/>
      <c r="B865" s="2"/>
      <c r="C865" s="2"/>
      <c r="D865" s="2"/>
      <c r="E865" s="2"/>
      <c r="F865" s="2"/>
      <c r="G865" s="2"/>
      <c r="H865" s="2"/>
      <c r="I865" s="2"/>
      <c r="J865" s="2"/>
      <c r="K865" s="2"/>
      <c r="L865" s="2"/>
      <c r="M865" s="2"/>
      <c r="N865" s="2"/>
      <c r="O865" s="2"/>
      <c r="P865" s="2"/>
      <c r="Q865" s="2"/>
      <c r="R865" s="2"/>
      <c r="S865" s="2"/>
      <c r="T865" s="4"/>
    </row>
    <row r="866" spans="1:20" x14ac:dyDescent="0.3">
      <c r="A866" s="5"/>
      <c r="B866" s="6"/>
      <c r="C866" s="6"/>
      <c r="D866" s="6"/>
      <c r="E866" s="6"/>
      <c r="F866" s="6"/>
      <c r="G866" s="6"/>
      <c r="H866" s="6"/>
      <c r="I866" s="6"/>
      <c r="J866" s="6"/>
      <c r="K866" s="6"/>
      <c r="L866" s="6"/>
      <c r="M866" s="6"/>
      <c r="N866" s="6"/>
      <c r="O866" s="7"/>
      <c r="P866" s="6"/>
      <c r="Q866" s="6"/>
      <c r="R866" s="6"/>
      <c r="S866" s="6"/>
      <c r="T866" s="8"/>
    </row>
    <row r="867" spans="1:20" x14ac:dyDescent="0.3">
      <c r="A867" s="1"/>
      <c r="B867" s="2"/>
      <c r="C867" s="2"/>
      <c r="D867" s="2"/>
      <c r="E867" s="2"/>
      <c r="F867" s="2"/>
      <c r="G867" s="2"/>
      <c r="H867" s="2"/>
      <c r="I867" s="2"/>
      <c r="J867" s="2"/>
      <c r="K867" s="2"/>
      <c r="L867" s="2"/>
      <c r="M867" s="2"/>
      <c r="N867" s="2"/>
      <c r="O867" s="2"/>
      <c r="P867" s="2"/>
      <c r="Q867" s="2"/>
      <c r="R867" s="2"/>
      <c r="S867" s="2"/>
      <c r="T867" s="4"/>
    </row>
    <row r="868" spans="1:20" x14ac:dyDescent="0.3">
      <c r="A868" s="5"/>
      <c r="B868" s="6"/>
      <c r="C868" s="6"/>
      <c r="D868" s="6"/>
      <c r="E868" s="6"/>
      <c r="F868" s="6"/>
      <c r="G868" s="6"/>
      <c r="H868" s="6"/>
      <c r="I868" s="6"/>
      <c r="J868" s="6"/>
      <c r="K868" s="6"/>
      <c r="L868" s="6"/>
      <c r="M868" s="6"/>
      <c r="N868" s="6"/>
      <c r="O868" s="6"/>
      <c r="P868" s="6"/>
      <c r="Q868" s="6"/>
      <c r="R868" s="6"/>
      <c r="S868" s="6"/>
      <c r="T868" s="8"/>
    </row>
    <row r="869" spans="1:20" x14ac:dyDescent="0.3">
      <c r="A869" s="1"/>
      <c r="B869" s="2"/>
      <c r="C869" s="2"/>
      <c r="D869" s="2"/>
      <c r="E869" s="2"/>
      <c r="F869" s="2"/>
      <c r="G869" s="2"/>
      <c r="H869" s="2"/>
      <c r="I869" s="2"/>
      <c r="J869" s="2"/>
      <c r="K869" s="2"/>
      <c r="L869" s="2"/>
      <c r="M869" s="2"/>
      <c r="N869" s="2"/>
      <c r="O869" s="2"/>
      <c r="P869" s="2"/>
      <c r="Q869" s="2"/>
      <c r="R869" s="2"/>
      <c r="S869" s="2"/>
      <c r="T869" s="4"/>
    </row>
    <row r="870" spans="1:20" x14ac:dyDescent="0.3">
      <c r="A870" s="5"/>
      <c r="B870" s="6"/>
      <c r="C870" s="6"/>
      <c r="D870" s="6"/>
      <c r="E870" s="6"/>
      <c r="F870" s="6"/>
      <c r="G870" s="6"/>
      <c r="H870" s="6"/>
      <c r="I870" s="6"/>
      <c r="J870" s="6"/>
      <c r="K870" s="6"/>
      <c r="L870" s="6"/>
      <c r="M870" s="6"/>
      <c r="N870" s="6"/>
      <c r="O870" s="7"/>
      <c r="P870" s="6"/>
      <c r="Q870" s="6"/>
      <c r="R870" s="6"/>
      <c r="S870" s="6"/>
      <c r="T870" s="8"/>
    </row>
    <row r="871" spans="1:20" x14ac:dyDescent="0.3">
      <c r="A871" s="1"/>
      <c r="B871" s="2"/>
      <c r="C871" s="2"/>
      <c r="D871" s="2"/>
      <c r="E871" s="2"/>
      <c r="F871" s="2"/>
      <c r="G871" s="2"/>
      <c r="H871" s="2"/>
      <c r="I871" s="2"/>
      <c r="J871" s="2"/>
      <c r="K871" s="2"/>
      <c r="L871" s="2"/>
      <c r="M871" s="2"/>
      <c r="N871" s="2"/>
      <c r="O871" s="3"/>
      <c r="P871" s="2"/>
      <c r="Q871" s="2"/>
      <c r="R871" s="2"/>
      <c r="S871" s="2"/>
      <c r="T871" s="4"/>
    </row>
    <row r="872" spans="1:20" x14ac:dyDescent="0.3">
      <c r="A872" s="5"/>
      <c r="B872" s="6"/>
      <c r="C872" s="6"/>
      <c r="D872" s="6"/>
      <c r="E872" s="6"/>
      <c r="F872" s="6"/>
      <c r="G872" s="6"/>
      <c r="H872" s="6"/>
      <c r="I872" s="6"/>
      <c r="J872" s="6"/>
      <c r="K872" s="6"/>
      <c r="L872" s="6"/>
      <c r="M872" s="6"/>
      <c r="N872" s="6"/>
      <c r="O872" s="6"/>
      <c r="P872" s="6"/>
      <c r="Q872" s="6"/>
      <c r="R872" s="6"/>
      <c r="S872" s="6"/>
      <c r="T872" s="8"/>
    </row>
    <row r="873" spans="1:20" x14ac:dyDescent="0.3">
      <c r="A873" s="1"/>
      <c r="B873" s="2"/>
      <c r="C873" s="2"/>
      <c r="D873" s="2"/>
      <c r="E873" s="2"/>
      <c r="F873" s="2"/>
      <c r="G873" s="2"/>
      <c r="H873" s="2"/>
      <c r="I873" s="2"/>
      <c r="J873" s="2"/>
      <c r="K873" s="2"/>
      <c r="L873" s="2"/>
      <c r="M873" s="2"/>
      <c r="N873" s="2"/>
      <c r="O873" s="2"/>
      <c r="P873" s="2"/>
      <c r="Q873" s="2"/>
      <c r="R873" s="2"/>
      <c r="S873" s="2"/>
      <c r="T873" s="4"/>
    </row>
    <row r="874" spans="1:20" x14ac:dyDescent="0.3">
      <c r="A874" s="5"/>
      <c r="B874" s="6"/>
      <c r="C874" s="6"/>
      <c r="D874" s="6"/>
      <c r="E874" s="6"/>
      <c r="F874" s="6"/>
      <c r="G874" s="6"/>
      <c r="H874" s="6"/>
      <c r="I874" s="6"/>
      <c r="J874" s="6"/>
      <c r="K874" s="6"/>
      <c r="L874" s="6"/>
      <c r="M874" s="6"/>
      <c r="N874" s="6"/>
      <c r="O874" s="7"/>
      <c r="P874" s="6"/>
      <c r="Q874" s="6"/>
      <c r="R874" s="6"/>
      <c r="S874" s="6"/>
      <c r="T874" s="8"/>
    </row>
    <row r="875" spans="1:20" x14ac:dyDescent="0.3">
      <c r="A875" s="1"/>
      <c r="B875" s="2"/>
      <c r="C875" s="2"/>
      <c r="D875" s="2"/>
      <c r="E875" s="2"/>
      <c r="F875" s="2"/>
      <c r="G875" s="2"/>
      <c r="H875" s="2"/>
      <c r="I875" s="2"/>
      <c r="J875" s="2"/>
      <c r="K875" s="2"/>
      <c r="L875" s="2"/>
      <c r="M875" s="2"/>
      <c r="N875" s="2"/>
      <c r="O875" s="2"/>
      <c r="P875" s="2"/>
      <c r="Q875" s="2"/>
      <c r="R875" s="2"/>
      <c r="S875" s="2"/>
      <c r="T875" s="4"/>
    </row>
    <row r="876" spans="1:20" x14ac:dyDescent="0.3">
      <c r="A876" s="5"/>
      <c r="B876" s="6"/>
      <c r="C876" s="6"/>
      <c r="D876" s="6"/>
      <c r="E876" s="6"/>
      <c r="F876" s="6"/>
      <c r="G876" s="6"/>
      <c r="H876" s="6"/>
      <c r="I876" s="6"/>
      <c r="J876" s="6"/>
      <c r="K876" s="6"/>
      <c r="L876" s="6"/>
      <c r="M876" s="6"/>
      <c r="N876" s="6"/>
      <c r="O876" s="6"/>
      <c r="P876" s="6"/>
      <c r="Q876" s="6"/>
      <c r="R876" s="6"/>
      <c r="S876" s="6"/>
      <c r="T876" s="8"/>
    </row>
    <row r="877" spans="1:20" x14ac:dyDescent="0.3">
      <c r="A877" s="1"/>
      <c r="B877" s="2"/>
      <c r="C877" s="2"/>
      <c r="D877" s="2"/>
      <c r="E877" s="2"/>
      <c r="F877" s="2"/>
      <c r="G877" s="2"/>
      <c r="H877" s="2"/>
      <c r="I877" s="2"/>
      <c r="J877" s="2"/>
      <c r="K877" s="2"/>
      <c r="L877" s="2"/>
      <c r="M877" s="2"/>
      <c r="N877" s="2"/>
      <c r="O877" s="2"/>
      <c r="P877" s="2"/>
      <c r="Q877" s="2"/>
      <c r="R877" s="2"/>
      <c r="S877" s="2"/>
      <c r="T877" s="4"/>
    </row>
    <row r="878" spans="1:20" x14ac:dyDescent="0.3">
      <c r="A878" s="5"/>
      <c r="B878" s="6"/>
      <c r="C878" s="6"/>
      <c r="D878" s="6"/>
      <c r="E878" s="6"/>
      <c r="F878" s="6"/>
      <c r="G878" s="6"/>
      <c r="H878" s="6"/>
      <c r="I878" s="6"/>
      <c r="J878" s="6"/>
      <c r="K878" s="6"/>
      <c r="L878" s="6"/>
      <c r="M878" s="6"/>
      <c r="N878" s="6"/>
      <c r="O878" s="7"/>
      <c r="P878" s="6"/>
      <c r="Q878" s="6"/>
      <c r="R878" s="6"/>
      <c r="S878" s="6"/>
      <c r="T878" s="8"/>
    </row>
    <row r="879" spans="1:20" x14ac:dyDescent="0.3">
      <c r="A879" s="1"/>
      <c r="B879" s="2"/>
      <c r="C879" s="2"/>
      <c r="D879" s="2"/>
      <c r="E879" s="2"/>
      <c r="F879" s="2"/>
      <c r="G879" s="2"/>
      <c r="H879" s="2"/>
      <c r="I879" s="2"/>
      <c r="J879" s="2"/>
      <c r="K879" s="2"/>
      <c r="L879" s="2"/>
      <c r="M879" s="2"/>
      <c r="N879" s="2"/>
      <c r="O879" s="3"/>
      <c r="P879" s="2"/>
      <c r="Q879" s="2"/>
      <c r="R879" s="2"/>
      <c r="S879" s="2"/>
      <c r="T879" s="4"/>
    </row>
    <row r="880" spans="1:20" x14ac:dyDescent="0.3">
      <c r="A880" s="5"/>
      <c r="B880" s="6"/>
      <c r="C880" s="6"/>
      <c r="D880" s="6"/>
      <c r="E880" s="6"/>
      <c r="F880" s="6"/>
      <c r="G880" s="6"/>
      <c r="H880" s="6"/>
      <c r="I880" s="6"/>
      <c r="J880" s="6"/>
      <c r="K880" s="6"/>
      <c r="L880" s="6"/>
      <c r="M880" s="6"/>
      <c r="N880" s="6"/>
      <c r="O880" s="6"/>
      <c r="P880" s="6"/>
      <c r="Q880" s="6"/>
      <c r="R880" s="6"/>
      <c r="S880" s="6"/>
      <c r="T880" s="8"/>
    </row>
    <row r="881" spans="1:20" x14ac:dyDescent="0.3">
      <c r="A881" s="1"/>
      <c r="B881" s="2"/>
      <c r="C881" s="2"/>
      <c r="D881" s="2"/>
      <c r="E881" s="2"/>
      <c r="F881" s="2"/>
      <c r="G881" s="2"/>
      <c r="H881" s="2"/>
      <c r="I881" s="2"/>
      <c r="J881" s="2"/>
      <c r="K881" s="2"/>
      <c r="L881" s="2"/>
      <c r="M881" s="2"/>
      <c r="N881" s="2"/>
      <c r="O881" s="2"/>
      <c r="P881" s="2"/>
      <c r="Q881" s="2"/>
      <c r="R881" s="2"/>
      <c r="S881" s="2"/>
      <c r="T881" s="4"/>
    </row>
    <row r="882" spans="1:20" x14ac:dyDescent="0.3">
      <c r="A882" s="5"/>
      <c r="B882" s="6"/>
      <c r="C882" s="6"/>
      <c r="D882" s="6"/>
      <c r="E882" s="6"/>
      <c r="F882" s="6"/>
      <c r="G882" s="6"/>
      <c r="H882" s="6"/>
      <c r="I882" s="6"/>
      <c r="J882" s="6"/>
      <c r="K882" s="6"/>
      <c r="L882" s="6"/>
      <c r="M882" s="6"/>
      <c r="N882" s="6"/>
      <c r="O882" s="7"/>
      <c r="P882" s="6"/>
      <c r="Q882" s="6"/>
      <c r="R882" s="6"/>
      <c r="S882" s="6"/>
      <c r="T882" s="8"/>
    </row>
    <row r="883" spans="1:20" x14ac:dyDescent="0.3">
      <c r="A883" s="1"/>
      <c r="B883" s="2"/>
      <c r="C883" s="2"/>
      <c r="D883" s="2"/>
      <c r="E883" s="2"/>
      <c r="F883" s="2"/>
      <c r="G883" s="2"/>
      <c r="H883" s="2"/>
      <c r="I883" s="2"/>
      <c r="J883" s="2"/>
      <c r="K883" s="2"/>
      <c r="L883" s="2"/>
      <c r="M883" s="2"/>
      <c r="N883" s="2"/>
      <c r="O883" s="3"/>
      <c r="P883" s="2"/>
      <c r="Q883" s="2"/>
      <c r="R883" s="2"/>
      <c r="S883" s="2"/>
      <c r="T883" s="4"/>
    </row>
    <row r="884" spans="1:20" x14ac:dyDescent="0.3">
      <c r="A884" s="5"/>
      <c r="B884" s="6"/>
      <c r="C884" s="6"/>
      <c r="D884" s="6"/>
      <c r="E884" s="6"/>
      <c r="F884" s="6"/>
      <c r="G884" s="6"/>
      <c r="H884" s="6"/>
      <c r="I884" s="6"/>
      <c r="J884" s="6"/>
      <c r="K884" s="6"/>
      <c r="L884" s="6"/>
      <c r="M884" s="6"/>
      <c r="N884" s="6"/>
      <c r="O884" s="6"/>
      <c r="P884" s="6"/>
      <c r="Q884" s="6"/>
      <c r="R884" s="6"/>
      <c r="S884" s="6"/>
      <c r="T884" s="8"/>
    </row>
    <row r="885" spans="1:20" x14ac:dyDescent="0.3">
      <c r="A885" s="1"/>
      <c r="B885" s="2"/>
      <c r="C885" s="2"/>
      <c r="D885" s="2"/>
      <c r="E885" s="2"/>
      <c r="F885" s="2"/>
      <c r="G885" s="2"/>
      <c r="H885" s="2"/>
      <c r="I885" s="2"/>
      <c r="J885" s="2"/>
      <c r="K885" s="2"/>
      <c r="L885" s="2"/>
      <c r="M885" s="2"/>
      <c r="N885" s="2"/>
      <c r="O885" s="2"/>
      <c r="P885" s="2"/>
      <c r="Q885" s="2"/>
      <c r="R885" s="2"/>
      <c r="S885" s="2"/>
      <c r="T885" s="4"/>
    </row>
    <row r="886" spans="1:20" x14ac:dyDescent="0.3">
      <c r="A886" s="5"/>
      <c r="B886" s="6"/>
      <c r="C886" s="6"/>
      <c r="D886" s="6"/>
      <c r="E886" s="6"/>
      <c r="F886" s="6"/>
      <c r="G886" s="6"/>
      <c r="H886" s="6"/>
      <c r="I886" s="6"/>
      <c r="J886" s="6"/>
      <c r="K886" s="6"/>
      <c r="L886" s="6"/>
      <c r="M886" s="6"/>
      <c r="N886" s="6"/>
      <c r="O886" s="6"/>
      <c r="P886" s="6"/>
      <c r="Q886" s="6"/>
      <c r="R886" s="6"/>
      <c r="S886" s="6"/>
      <c r="T886" s="8"/>
    </row>
    <row r="887" spans="1:20" x14ac:dyDescent="0.3">
      <c r="A887" s="1"/>
      <c r="B887" s="2"/>
      <c r="C887" s="2"/>
      <c r="D887" s="2"/>
      <c r="E887" s="2"/>
      <c r="F887" s="2"/>
      <c r="G887" s="2"/>
      <c r="H887" s="2"/>
      <c r="I887" s="2"/>
      <c r="J887" s="2"/>
      <c r="K887" s="2"/>
      <c r="L887" s="2"/>
      <c r="M887" s="2"/>
      <c r="N887" s="2"/>
      <c r="O887" s="2"/>
      <c r="P887" s="2"/>
      <c r="Q887" s="2"/>
      <c r="R887" s="2"/>
      <c r="S887" s="2"/>
      <c r="T887" s="4"/>
    </row>
    <row r="888" spans="1:20" x14ac:dyDescent="0.3">
      <c r="A888" s="5"/>
      <c r="B888" s="6"/>
      <c r="C888" s="6"/>
      <c r="D888" s="6"/>
      <c r="E888" s="6"/>
      <c r="F888" s="6"/>
      <c r="G888" s="6"/>
      <c r="H888" s="6"/>
      <c r="I888" s="6"/>
      <c r="J888" s="6"/>
      <c r="K888" s="6"/>
      <c r="L888" s="6"/>
      <c r="M888" s="6"/>
      <c r="N888" s="6"/>
      <c r="O888" s="7"/>
      <c r="P888" s="6"/>
      <c r="Q888" s="6"/>
      <c r="R888" s="6"/>
      <c r="S888" s="6"/>
      <c r="T888" s="8"/>
    </row>
    <row r="889" spans="1:20" x14ac:dyDescent="0.3">
      <c r="A889" s="1"/>
      <c r="B889" s="2"/>
      <c r="C889" s="2"/>
      <c r="D889" s="2"/>
      <c r="E889" s="2"/>
      <c r="F889" s="2"/>
      <c r="G889" s="2"/>
      <c r="H889" s="2"/>
      <c r="I889" s="2"/>
      <c r="J889" s="2"/>
      <c r="K889" s="2"/>
      <c r="L889" s="2"/>
      <c r="M889" s="2"/>
      <c r="N889" s="2"/>
      <c r="O889" s="2"/>
      <c r="P889" s="2"/>
      <c r="Q889" s="2"/>
      <c r="R889" s="2"/>
      <c r="S889" s="2"/>
      <c r="T889" s="4"/>
    </row>
    <row r="890" spans="1:20" x14ac:dyDescent="0.3">
      <c r="A890" s="5"/>
      <c r="B890" s="6"/>
      <c r="C890" s="6"/>
      <c r="D890" s="6"/>
      <c r="E890" s="6"/>
      <c r="F890" s="6"/>
      <c r="G890" s="6"/>
      <c r="H890" s="6"/>
      <c r="I890" s="6"/>
      <c r="J890" s="6"/>
      <c r="K890" s="6"/>
      <c r="L890" s="6"/>
      <c r="M890" s="6"/>
      <c r="N890" s="6"/>
      <c r="O890" s="6"/>
      <c r="P890" s="6"/>
      <c r="Q890" s="6"/>
      <c r="R890" s="6"/>
      <c r="S890" s="6"/>
      <c r="T890" s="8"/>
    </row>
    <row r="891" spans="1:20" x14ac:dyDescent="0.3">
      <c r="A891" s="1"/>
      <c r="B891" s="2"/>
      <c r="C891" s="2"/>
      <c r="D891" s="2"/>
      <c r="E891" s="2"/>
      <c r="F891" s="2"/>
      <c r="G891" s="2"/>
      <c r="H891" s="2"/>
      <c r="I891" s="2"/>
      <c r="J891" s="2"/>
      <c r="K891" s="2"/>
      <c r="L891" s="2"/>
      <c r="M891" s="2"/>
      <c r="N891" s="2"/>
      <c r="O891" s="2"/>
      <c r="P891" s="2"/>
      <c r="Q891" s="2"/>
      <c r="R891" s="2"/>
      <c r="S891" s="2"/>
      <c r="T891" s="4"/>
    </row>
    <row r="892" spans="1:20" x14ac:dyDescent="0.3">
      <c r="A892" s="5"/>
      <c r="B892" s="6"/>
      <c r="C892" s="6"/>
      <c r="D892" s="6"/>
      <c r="E892" s="6"/>
      <c r="F892" s="6"/>
      <c r="G892" s="6"/>
      <c r="H892" s="6"/>
      <c r="I892" s="6"/>
      <c r="J892" s="6"/>
      <c r="K892" s="6"/>
      <c r="L892" s="6"/>
      <c r="M892" s="6"/>
      <c r="N892" s="6"/>
      <c r="O892" s="6"/>
      <c r="P892" s="6"/>
      <c r="Q892" s="6"/>
      <c r="R892" s="6"/>
      <c r="S892" s="6"/>
      <c r="T892" s="8"/>
    </row>
    <row r="893" spans="1:20" x14ac:dyDescent="0.3">
      <c r="A893" s="1"/>
      <c r="B893" s="2"/>
      <c r="C893" s="2"/>
      <c r="D893" s="2"/>
      <c r="E893" s="2"/>
      <c r="F893" s="2"/>
      <c r="G893" s="2"/>
      <c r="H893" s="2"/>
      <c r="I893" s="2"/>
      <c r="J893" s="2"/>
      <c r="K893" s="2"/>
      <c r="L893" s="2"/>
      <c r="M893" s="2"/>
      <c r="N893" s="2"/>
      <c r="O893" s="2"/>
      <c r="P893" s="2"/>
      <c r="Q893" s="2"/>
      <c r="R893" s="2"/>
      <c r="S893" s="2"/>
      <c r="T893" s="4"/>
    </row>
    <row r="894" spans="1:20" x14ac:dyDescent="0.3">
      <c r="A894" s="5"/>
      <c r="B894" s="6"/>
      <c r="C894" s="6"/>
      <c r="D894" s="6"/>
      <c r="E894" s="6"/>
      <c r="F894" s="6"/>
      <c r="G894" s="6"/>
      <c r="H894" s="6"/>
      <c r="I894" s="6"/>
      <c r="J894" s="6"/>
      <c r="K894" s="6"/>
      <c r="L894" s="6"/>
      <c r="M894" s="6"/>
      <c r="N894" s="6"/>
      <c r="O894" s="6"/>
      <c r="P894" s="6"/>
      <c r="Q894" s="6"/>
      <c r="R894" s="6"/>
      <c r="S894" s="6"/>
      <c r="T894" s="8"/>
    </row>
    <row r="895" spans="1:20" x14ac:dyDescent="0.3">
      <c r="A895" s="1"/>
      <c r="B895" s="2"/>
      <c r="C895" s="2"/>
      <c r="D895" s="2"/>
      <c r="E895" s="2"/>
      <c r="F895" s="2"/>
      <c r="G895" s="2"/>
      <c r="H895" s="2"/>
      <c r="I895" s="2"/>
      <c r="J895" s="2"/>
      <c r="K895" s="2"/>
      <c r="L895" s="2"/>
      <c r="M895" s="2"/>
      <c r="N895" s="2"/>
      <c r="O895" s="3"/>
      <c r="P895" s="2"/>
      <c r="Q895" s="2"/>
      <c r="R895" s="2"/>
      <c r="S895" s="2"/>
      <c r="T895" s="4"/>
    </row>
    <row r="896" spans="1:20" x14ac:dyDescent="0.3">
      <c r="A896" s="5"/>
      <c r="B896" s="6"/>
      <c r="C896" s="6"/>
      <c r="D896" s="6"/>
      <c r="E896" s="6"/>
      <c r="F896" s="6"/>
      <c r="G896" s="6"/>
      <c r="H896" s="6"/>
      <c r="I896" s="6"/>
      <c r="J896" s="6"/>
      <c r="K896" s="6"/>
      <c r="L896" s="6"/>
      <c r="M896" s="6"/>
      <c r="N896" s="6"/>
      <c r="O896" s="7"/>
      <c r="P896" s="6"/>
      <c r="Q896" s="6"/>
      <c r="R896" s="6"/>
      <c r="S896" s="6"/>
      <c r="T896" s="8"/>
    </row>
    <row r="897" spans="1:20" x14ac:dyDescent="0.3">
      <c r="A897" s="1"/>
      <c r="B897" s="2"/>
      <c r="C897" s="2"/>
      <c r="D897" s="2"/>
      <c r="E897" s="2"/>
      <c r="F897" s="2"/>
      <c r="G897" s="2"/>
      <c r="H897" s="2"/>
      <c r="I897" s="2"/>
      <c r="J897" s="2"/>
      <c r="K897" s="2"/>
      <c r="L897" s="2"/>
      <c r="M897" s="2"/>
      <c r="N897" s="2"/>
      <c r="O897" s="2"/>
      <c r="P897" s="2"/>
      <c r="Q897" s="2"/>
      <c r="R897" s="2"/>
      <c r="S897" s="2"/>
      <c r="T897" s="4"/>
    </row>
    <row r="898" spans="1:20" x14ac:dyDescent="0.3">
      <c r="A898" s="5"/>
      <c r="B898" s="6"/>
      <c r="C898" s="6"/>
      <c r="D898" s="6"/>
      <c r="E898" s="6"/>
      <c r="F898" s="6"/>
      <c r="G898" s="6"/>
      <c r="H898" s="6"/>
      <c r="I898" s="6"/>
      <c r="J898" s="6"/>
      <c r="K898" s="6"/>
      <c r="L898" s="6"/>
      <c r="M898" s="6"/>
      <c r="N898" s="6"/>
      <c r="O898" s="7"/>
      <c r="P898" s="6"/>
      <c r="Q898" s="6"/>
      <c r="R898" s="6"/>
      <c r="S898" s="6"/>
      <c r="T898" s="8"/>
    </row>
    <row r="899" spans="1:20" x14ac:dyDescent="0.3">
      <c r="A899" s="1"/>
      <c r="B899" s="2"/>
      <c r="C899" s="2"/>
      <c r="D899" s="2"/>
      <c r="E899" s="2"/>
      <c r="F899" s="2"/>
      <c r="G899" s="2"/>
      <c r="H899" s="2"/>
      <c r="I899" s="2"/>
      <c r="J899" s="2"/>
      <c r="K899" s="2"/>
      <c r="L899" s="2"/>
      <c r="M899" s="2"/>
      <c r="N899" s="2"/>
      <c r="O899" s="2"/>
      <c r="P899" s="2"/>
      <c r="Q899" s="2"/>
      <c r="R899" s="2"/>
      <c r="S899" s="2"/>
      <c r="T899" s="4"/>
    </row>
    <row r="900" spans="1:20" x14ac:dyDescent="0.3">
      <c r="A900" s="5"/>
      <c r="B900" s="6"/>
      <c r="C900" s="6"/>
      <c r="D900" s="6"/>
      <c r="E900" s="6"/>
      <c r="F900" s="6"/>
      <c r="G900" s="6"/>
      <c r="H900" s="6"/>
      <c r="I900" s="6"/>
      <c r="J900" s="6"/>
      <c r="K900" s="6"/>
      <c r="L900" s="6"/>
      <c r="M900" s="6"/>
      <c r="N900" s="6"/>
      <c r="O900" s="6"/>
      <c r="P900" s="6"/>
      <c r="Q900" s="6"/>
      <c r="R900" s="6"/>
      <c r="S900" s="6"/>
      <c r="T900" s="8"/>
    </row>
    <row r="901" spans="1:20" x14ac:dyDescent="0.3">
      <c r="A901" s="1"/>
      <c r="B901" s="2"/>
      <c r="C901" s="2"/>
      <c r="D901" s="2"/>
      <c r="E901" s="2"/>
      <c r="F901" s="2"/>
      <c r="G901" s="2"/>
      <c r="H901" s="2"/>
      <c r="I901" s="2"/>
      <c r="J901" s="2"/>
      <c r="K901" s="2"/>
      <c r="L901" s="2"/>
      <c r="M901" s="2"/>
      <c r="N901" s="2"/>
      <c r="O901" s="2"/>
      <c r="P901" s="2"/>
      <c r="Q901" s="2"/>
      <c r="R901" s="2"/>
      <c r="S901" s="2"/>
      <c r="T901" s="4"/>
    </row>
    <row r="902" spans="1:20" x14ac:dyDescent="0.3">
      <c r="A902" s="5"/>
      <c r="B902" s="6"/>
      <c r="C902" s="6"/>
      <c r="D902" s="6"/>
      <c r="E902" s="6"/>
      <c r="F902" s="6"/>
      <c r="G902" s="6"/>
      <c r="H902" s="6"/>
      <c r="I902" s="6"/>
      <c r="J902" s="6"/>
      <c r="K902" s="6"/>
      <c r="L902" s="6"/>
      <c r="M902" s="6"/>
      <c r="N902" s="6"/>
      <c r="O902" s="6"/>
      <c r="P902" s="6"/>
      <c r="Q902" s="6"/>
      <c r="R902" s="6"/>
      <c r="S902" s="6"/>
      <c r="T902" s="8"/>
    </row>
    <row r="903" spans="1:20" x14ac:dyDescent="0.3">
      <c r="A903" s="1"/>
      <c r="B903" s="2"/>
      <c r="C903" s="2"/>
      <c r="D903" s="2"/>
      <c r="E903" s="2"/>
      <c r="F903" s="2"/>
      <c r="G903" s="2"/>
      <c r="H903" s="2"/>
      <c r="I903" s="2"/>
      <c r="J903" s="2"/>
      <c r="K903" s="2"/>
      <c r="L903" s="2"/>
      <c r="M903" s="2"/>
      <c r="N903" s="2"/>
      <c r="O903" s="2"/>
      <c r="P903" s="2"/>
      <c r="Q903" s="2"/>
      <c r="R903" s="2"/>
      <c r="S903" s="2"/>
      <c r="T903" s="4"/>
    </row>
    <row r="904" spans="1:20" x14ac:dyDescent="0.3">
      <c r="A904" s="5"/>
      <c r="B904" s="6"/>
      <c r="C904" s="6"/>
      <c r="D904" s="6"/>
      <c r="E904" s="6"/>
      <c r="F904" s="6"/>
      <c r="G904" s="6"/>
      <c r="H904" s="6"/>
      <c r="I904" s="6"/>
      <c r="J904" s="6"/>
      <c r="K904" s="6"/>
      <c r="L904" s="6"/>
      <c r="M904" s="6"/>
      <c r="N904" s="6"/>
      <c r="O904" s="6"/>
      <c r="P904" s="6"/>
      <c r="Q904" s="6"/>
      <c r="R904" s="6"/>
      <c r="S904" s="6"/>
      <c r="T904" s="8"/>
    </row>
    <row r="905" spans="1:20" x14ac:dyDescent="0.3">
      <c r="A905" s="1"/>
      <c r="B905" s="2"/>
      <c r="C905" s="2"/>
      <c r="D905" s="2"/>
      <c r="E905" s="2"/>
      <c r="F905" s="2"/>
      <c r="G905" s="2"/>
      <c r="H905" s="2"/>
      <c r="I905" s="2"/>
      <c r="J905" s="2"/>
      <c r="K905" s="2"/>
      <c r="L905" s="2"/>
      <c r="M905" s="2"/>
      <c r="N905" s="2"/>
      <c r="O905" s="2"/>
      <c r="P905" s="2"/>
      <c r="Q905" s="2"/>
      <c r="R905" s="2"/>
      <c r="S905" s="2"/>
      <c r="T905" s="4"/>
    </row>
    <row r="906" spans="1:20" x14ac:dyDescent="0.3">
      <c r="A906" s="5"/>
      <c r="B906" s="6"/>
      <c r="C906" s="6"/>
      <c r="D906" s="6"/>
      <c r="E906" s="6"/>
      <c r="F906" s="6"/>
      <c r="G906" s="6"/>
      <c r="H906" s="6"/>
      <c r="I906" s="6"/>
      <c r="J906" s="6"/>
      <c r="K906" s="6"/>
      <c r="L906" s="6"/>
      <c r="M906" s="6"/>
      <c r="N906" s="6"/>
      <c r="O906" s="6"/>
      <c r="P906" s="6"/>
      <c r="Q906" s="6"/>
      <c r="R906" s="6"/>
      <c r="S906" s="6"/>
      <c r="T906" s="8"/>
    </row>
    <row r="907" spans="1:20" x14ac:dyDescent="0.3">
      <c r="A907" s="1"/>
      <c r="B907" s="2"/>
      <c r="C907" s="2"/>
      <c r="D907" s="2"/>
      <c r="E907" s="2"/>
      <c r="F907" s="2"/>
      <c r="G907" s="2"/>
      <c r="H907" s="2"/>
      <c r="I907" s="2"/>
      <c r="J907" s="2"/>
      <c r="K907" s="2"/>
      <c r="L907" s="2"/>
      <c r="M907" s="2"/>
      <c r="N907" s="2"/>
      <c r="O907" s="2"/>
      <c r="P907" s="2"/>
      <c r="Q907" s="2"/>
      <c r="R907" s="2"/>
      <c r="S907" s="2"/>
      <c r="T907" s="4"/>
    </row>
    <row r="908" spans="1:20" x14ac:dyDescent="0.3">
      <c r="A908" s="5"/>
      <c r="B908" s="6"/>
      <c r="C908" s="6"/>
      <c r="D908" s="6"/>
      <c r="E908" s="6"/>
      <c r="F908" s="6"/>
      <c r="G908" s="6"/>
      <c r="H908" s="6"/>
      <c r="I908" s="6"/>
      <c r="J908" s="6"/>
      <c r="K908" s="6"/>
      <c r="L908" s="6"/>
      <c r="M908" s="6"/>
      <c r="N908" s="6"/>
      <c r="O908" s="6"/>
      <c r="P908" s="6"/>
      <c r="Q908" s="6"/>
      <c r="R908" s="6"/>
      <c r="S908" s="6"/>
      <c r="T908" s="8"/>
    </row>
    <row r="909" spans="1:20" x14ac:dyDescent="0.3">
      <c r="A909" s="1"/>
      <c r="B909" s="2"/>
      <c r="C909" s="2"/>
      <c r="D909" s="2"/>
      <c r="E909" s="2"/>
      <c r="F909" s="2"/>
      <c r="G909" s="2"/>
      <c r="H909" s="2"/>
      <c r="I909" s="2"/>
      <c r="J909" s="2"/>
      <c r="K909" s="2"/>
      <c r="L909" s="2"/>
      <c r="M909" s="2"/>
      <c r="N909" s="2"/>
      <c r="O909" s="2"/>
      <c r="P909" s="2"/>
      <c r="Q909" s="2"/>
      <c r="R909" s="2"/>
      <c r="S909" s="2"/>
      <c r="T909" s="4"/>
    </row>
    <row r="910" spans="1:20" x14ac:dyDescent="0.3">
      <c r="A910" s="5"/>
      <c r="B910" s="6"/>
      <c r="C910" s="6"/>
      <c r="D910" s="6"/>
      <c r="E910" s="6"/>
      <c r="F910" s="6"/>
      <c r="G910" s="6"/>
      <c r="H910" s="6"/>
      <c r="I910" s="6"/>
      <c r="J910" s="6"/>
      <c r="K910" s="6"/>
      <c r="L910" s="6"/>
      <c r="M910" s="6"/>
      <c r="N910" s="6"/>
      <c r="O910" s="6"/>
      <c r="P910" s="6"/>
      <c r="Q910" s="6"/>
      <c r="R910" s="6"/>
      <c r="S910" s="6"/>
      <c r="T910" s="8"/>
    </row>
    <row r="911" spans="1:20" x14ac:dyDescent="0.3">
      <c r="A911" s="1"/>
      <c r="B911" s="2"/>
      <c r="C911" s="2"/>
      <c r="D911" s="2"/>
      <c r="E911" s="2"/>
      <c r="F911" s="2"/>
      <c r="G911" s="2"/>
      <c r="H911" s="2"/>
      <c r="I911" s="2"/>
      <c r="J911" s="2"/>
      <c r="K911" s="2"/>
      <c r="L911" s="2"/>
      <c r="M911" s="2"/>
      <c r="N911" s="3"/>
      <c r="O911" s="2"/>
      <c r="P911" s="2"/>
      <c r="Q911" s="2"/>
      <c r="R911" s="2"/>
      <c r="S911" s="2"/>
      <c r="T911" s="4"/>
    </row>
    <row r="912" spans="1:20" x14ac:dyDescent="0.3">
      <c r="A912" s="5"/>
      <c r="B912" s="6"/>
      <c r="C912" s="6"/>
      <c r="D912" s="6"/>
      <c r="E912" s="6"/>
      <c r="F912" s="6"/>
      <c r="G912" s="6"/>
      <c r="H912" s="6"/>
      <c r="I912" s="6"/>
      <c r="J912" s="6"/>
      <c r="K912" s="6"/>
      <c r="L912" s="6"/>
      <c r="M912" s="6"/>
      <c r="N912" s="6"/>
      <c r="O912" s="6"/>
      <c r="P912" s="6"/>
      <c r="Q912" s="6"/>
      <c r="R912" s="6"/>
      <c r="S912" s="6"/>
      <c r="T912" s="8"/>
    </row>
    <row r="913" spans="1:20" x14ac:dyDescent="0.3">
      <c r="A913" s="1"/>
      <c r="B913" s="2"/>
      <c r="C913" s="2"/>
      <c r="D913" s="2"/>
      <c r="E913" s="2"/>
      <c r="F913" s="2"/>
      <c r="G913" s="2"/>
      <c r="H913" s="2"/>
      <c r="I913" s="2"/>
      <c r="J913" s="2"/>
      <c r="K913" s="2"/>
      <c r="L913" s="2"/>
      <c r="M913" s="2"/>
      <c r="N913" s="2"/>
      <c r="O913" s="2"/>
      <c r="P913" s="2"/>
      <c r="Q913" s="2"/>
      <c r="R913" s="2"/>
      <c r="S913" s="2"/>
      <c r="T913" s="4"/>
    </row>
    <row r="914" spans="1:20" x14ac:dyDescent="0.3">
      <c r="A914" s="5"/>
      <c r="B914" s="6"/>
      <c r="C914" s="6"/>
      <c r="D914" s="6"/>
      <c r="E914" s="6"/>
      <c r="F914" s="6"/>
      <c r="G914" s="6"/>
      <c r="H914" s="6"/>
      <c r="I914" s="6"/>
      <c r="J914" s="6"/>
      <c r="K914" s="6"/>
      <c r="L914" s="6"/>
      <c r="M914" s="6"/>
      <c r="N914" s="6"/>
      <c r="O914" s="6"/>
      <c r="P914" s="6"/>
      <c r="Q914" s="6"/>
      <c r="R914" s="6"/>
      <c r="S914" s="6"/>
      <c r="T914" s="8"/>
    </row>
    <row r="915" spans="1:20" x14ac:dyDescent="0.3">
      <c r="A915" s="1"/>
      <c r="B915" s="2"/>
      <c r="C915" s="2"/>
      <c r="D915" s="2"/>
      <c r="E915" s="2"/>
      <c r="F915" s="2"/>
      <c r="G915" s="2"/>
      <c r="H915" s="2"/>
      <c r="I915" s="2"/>
      <c r="J915" s="2"/>
      <c r="K915" s="2"/>
      <c r="L915" s="2"/>
      <c r="M915" s="2"/>
      <c r="N915" s="2"/>
      <c r="O915" s="2"/>
      <c r="P915" s="2"/>
      <c r="Q915" s="2"/>
      <c r="R915" s="2"/>
      <c r="S915" s="2"/>
      <c r="T915" s="4"/>
    </row>
    <row r="916" spans="1:20" x14ac:dyDescent="0.3">
      <c r="A916" s="5"/>
      <c r="B916" s="6"/>
      <c r="C916" s="6"/>
      <c r="D916" s="6"/>
      <c r="E916" s="6"/>
      <c r="F916" s="6"/>
      <c r="G916" s="6"/>
      <c r="H916" s="6"/>
      <c r="I916" s="6"/>
      <c r="J916" s="6"/>
      <c r="K916" s="6"/>
      <c r="L916" s="6"/>
      <c r="M916" s="6"/>
      <c r="N916" s="6"/>
      <c r="O916" s="7"/>
      <c r="P916" s="6"/>
      <c r="Q916" s="6"/>
      <c r="R916" s="6"/>
      <c r="S916" s="6"/>
      <c r="T916" s="8"/>
    </row>
    <row r="917" spans="1:20" x14ac:dyDescent="0.3">
      <c r="A917" s="1"/>
      <c r="B917" s="2"/>
      <c r="C917" s="2"/>
      <c r="D917" s="2"/>
      <c r="E917" s="2"/>
      <c r="F917" s="2"/>
      <c r="G917" s="2"/>
      <c r="H917" s="2"/>
      <c r="I917" s="2"/>
      <c r="J917" s="2"/>
      <c r="K917" s="2"/>
      <c r="L917" s="2"/>
      <c r="M917" s="2"/>
      <c r="N917" s="2"/>
      <c r="O917" s="2"/>
      <c r="P917" s="2"/>
      <c r="Q917" s="2"/>
      <c r="R917" s="2"/>
      <c r="S917" s="2"/>
      <c r="T917" s="4"/>
    </row>
    <row r="918" spans="1:20" x14ac:dyDescent="0.3">
      <c r="A918" s="5"/>
      <c r="B918" s="6"/>
      <c r="C918" s="6"/>
      <c r="D918" s="6"/>
      <c r="E918" s="6"/>
      <c r="F918" s="6"/>
      <c r="G918" s="6"/>
      <c r="H918" s="6"/>
      <c r="I918" s="6"/>
      <c r="J918" s="6"/>
      <c r="K918" s="6"/>
      <c r="L918" s="6"/>
      <c r="M918" s="6"/>
      <c r="N918" s="6"/>
      <c r="O918" s="7"/>
      <c r="P918" s="6"/>
      <c r="Q918" s="6"/>
      <c r="R918" s="6"/>
      <c r="S918" s="6"/>
      <c r="T918" s="8"/>
    </row>
    <row r="919" spans="1:20" x14ac:dyDescent="0.3">
      <c r="A919" s="1"/>
      <c r="B919" s="2"/>
      <c r="C919" s="2"/>
      <c r="D919" s="2"/>
      <c r="E919" s="2"/>
      <c r="F919" s="2"/>
      <c r="G919" s="2"/>
      <c r="H919" s="2"/>
      <c r="I919" s="2"/>
      <c r="J919" s="2"/>
      <c r="K919" s="2"/>
      <c r="L919" s="2"/>
      <c r="M919" s="2"/>
      <c r="N919" s="2"/>
      <c r="O919" s="2"/>
      <c r="P919" s="2"/>
      <c r="Q919" s="2"/>
      <c r="R919" s="2"/>
      <c r="S919" s="2"/>
      <c r="T919" s="4"/>
    </row>
    <row r="920" spans="1:20" x14ac:dyDescent="0.3">
      <c r="A920" s="5"/>
      <c r="B920" s="6"/>
      <c r="C920" s="6"/>
      <c r="D920" s="6"/>
      <c r="E920" s="6"/>
      <c r="F920" s="6"/>
      <c r="G920" s="6"/>
      <c r="H920" s="6"/>
      <c r="I920" s="6"/>
      <c r="J920" s="6"/>
      <c r="K920" s="6"/>
      <c r="L920" s="6"/>
      <c r="M920" s="6"/>
      <c r="N920" s="6"/>
      <c r="O920" s="7"/>
      <c r="P920" s="6"/>
      <c r="Q920" s="6"/>
      <c r="R920" s="6"/>
      <c r="S920" s="6"/>
      <c r="T920" s="8"/>
    </row>
    <row r="921" spans="1:20" x14ac:dyDescent="0.3">
      <c r="A921" s="1"/>
      <c r="B921" s="2"/>
      <c r="C921" s="2"/>
      <c r="D921" s="2"/>
      <c r="E921" s="2"/>
      <c r="F921" s="2"/>
      <c r="G921" s="2"/>
      <c r="H921" s="2"/>
      <c r="I921" s="2"/>
      <c r="J921" s="2"/>
      <c r="K921" s="2"/>
      <c r="L921" s="2"/>
      <c r="M921" s="2"/>
      <c r="N921" s="2"/>
      <c r="O921" s="2"/>
      <c r="P921" s="2"/>
      <c r="Q921" s="2"/>
      <c r="R921" s="2"/>
      <c r="S921" s="2"/>
      <c r="T921" s="4"/>
    </row>
    <row r="922" spans="1:20" x14ac:dyDescent="0.3">
      <c r="A922" s="5"/>
      <c r="B922" s="6"/>
      <c r="C922" s="6"/>
      <c r="D922" s="6"/>
      <c r="E922" s="6"/>
      <c r="F922" s="6"/>
      <c r="G922" s="6"/>
      <c r="H922" s="6"/>
      <c r="I922" s="6"/>
      <c r="J922" s="6"/>
      <c r="K922" s="6"/>
      <c r="L922" s="6"/>
      <c r="M922" s="6"/>
      <c r="N922" s="6"/>
      <c r="O922" s="6"/>
      <c r="P922" s="6"/>
      <c r="Q922" s="6"/>
      <c r="R922" s="6"/>
      <c r="S922" s="6"/>
      <c r="T922" s="8"/>
    </row>
    <row r="923" spans="1:20" x14ac:dyDescent="0.3">
      <c r="A923" s="1"/>
      <c r="B923" s="2"/>
      <c r="C923" s="2"/>
      <c r="D923" s="2"/>
      <c r="E923" s="2"/>
      <c r="F923" s="2"/>
      <c r="G923" s="2"/>
      <c r="H923" s="2"/>
      <c r="I923" s="2"/>
      <c r="J923" s="2"/>
      <c r="K923" s="2"/>
      <c r="L923" s="2"/>
      <c r="M923" s="2"/>
      <c r="N923" s="2"/>
      <c r="O923" s="2"/>
      <c r="P923" s="2"/>
      <c r="Q923" s="2"/>
      <c r="R923" s="2"/>
      <c r="S923" s="2"/>
      <c r="T923" s="4"/>
    </row>
    <row r="924" spans="1:20" x14ac:dyDescent="0.3">
      <c r="A924" s="5"/>
      <c r="B924" s="6"/>
      <c r="C924" s="6"/>
      <c r="D924" s="6"/>
      <c r="E924" s="6"/>
      <c r="F924" s="6"/>
      <c r="G924" s="6"/>
      <c r="H924" s="6"/>
      <c r="I924" s="6"/>
      <c r="J924" s="6"/>
      <c r="K924" s="6"/>
      <c r="L924" s="6"/>
      <c r="M924" s="6"/>
      <c r="N924" s="6"/>
      <c r="O924" s="6"/>
      <c r="P924" s="6"/>
      <c r="Q924" s="6"/>
      <c r="R924" s="6"/>
      <c r="S924" s="6"/>
      <c r="T924" s="8"/>
    </row>
    <row r="925" spans="1:20" x14ac:dyDescent="0.3">
      <c r="A925" s="1"/>
      <c r="B925" s="2"/>
      <c r="C925" s="2"/>
      <c r="D925" s="2"/>
      <c r="E925" s="2"/>
      <c r="F925" s="2"/>
      <c r="G925" s="2"/>
      <c r="H925" s="2"/>
      <c r="I925" s="2"/>
      <c r="J925" s="2"/>
      <c r="K925" s="2"/>
      <c r="L925" s="2"/>
      <c r="M925" s="2"/>
      <c r="N925" s="2"/>
      <c r="O925" s="3"/>
      <c r="P925" s="2"/>
      <c r="Q925" s="2"/>
      <c r="R925" s="2"/>
      <c r="S925" s="2"/>
      <c r="T925" s="4"/>
    </row>
    <row r="926" spans="1:20" x14ac:dyDescent="0.3">
      <c r="A926" s="5"/>
      <c r="B926" s="6"/>
      <c r="C926" s="6"/>
      <c r="D926" s="6"/>
      <c r="E926" s="6"/>
      <c r="F926" s="6"/>
      <c r="G926" s="6"/>
      <c r="H926" s="6"/>
      <c r="I926" s="6"/>
      <c r="J926" s="6"/>
      <c r="K926" s="6"/>
      <c r="L926" s="6"/>
      <c r="M926" s="6"/>
      <c r="N926" s="6"/>
      <c r="O926" s="6"/>
      <c r="P926" s="6"/>
      <c r="Q926" s="6"/>
      <c r="R926" s="6"/>
      <c r="S926" s="6"/>
      <c r="T926" s="8"/>
    </row>
    <row r="927" spans="1:20" x14ac:dyDescent="0.3">
      <c r="A927" s="1"/>
      <c r="B927" s="2"/>
      <c r="C927" s="2"/>
      <c r="D927" s="2"/>
      <c r="E927" s="2"/>
      <c r="F927" s="2"/>
      <c r="G927" s="2"/>
      <c r="H927" s="2"/>
      <c r="I927" s="2"/>
      <c r="J927" s="2"/>
      <c r="K927" s="2"/>
      <c r="L927" s="2"/>
      <c r="M927" s="2"/>
      <c r="N927" s="2"/>
      <c r="O927" s="2"/>
      <c r="P927" s="2"/>
      <c r="Q927" s="2"/>
      <c r="R927" s="2"/>
      <c r="S927" s="2"/>
      <c r="T927" s="4"/>
    </row>
    <row r="928" spans="1:20" x14ac:dyDescent="0.3">
      <c r="A928" s="5"/>
      <c r="B928" s="6"/>
      <c r="C928" s="6"/>
      <c r="D928" s="6"/>
      <c r="E928" s="6"/>
      <c r="F928" s="6"/>
      <c r="G928" s="6"/>
      <c r="H928" s="6"/>
      <c r="I928" s="6"/>
      <c r="J928" s="6"/>
      <c r="K928" s="6"/>
      <c r="L928" s="6"/>
      <c r="M928" s="6"/>
      <c r="N928" s="6"/>
      <c r="O928" s="7"/>
      <c r="P928" s="6"/>
      <c r="Q928" s="6"/>
      <c r="R928" s="6"/>
      <c r="S928" s="6"/>
      <c r="T928" s="8"/>
    </row>
    <row r="929" spans="1:20" x14ac:dyDescent="0.3">
      <c r="A929" s="1"/>
      <c r="B929" s="2"/>
      <c r="C929" s="2"/>
      <c r="D929" s="2"/>
      <c r="E929" s="2"/>
      <c r="F929" s="2"/>
      <c r="G929" s="2"/>
      <c r="H929" s="2"/>
      <c r="I929" s="2"/>
      <c r="J929" s="2"/>
      <c r="K929" s="2"/>
      <c r="L929" s="2"/>
      <c r="M929" s="2"/>
      <c r="N929" s="2"/>
      <c r="O929" s="2"/>
      <c r="P929" s="2"/>
      <c r="Q929" s="2"/>
      <c r="R929" s="2"/>
      <c r="S929" s="2"/>
      <c r="T929" s="4"/>
    </row>
    <row r="930" spans="1:20" x14ac:dyDescent="0.3">
      <c r="A930" s="5"/>
      <c r="B930" s="6"/>
      <c r="C930" s="6"/>
      <c r="D930" s="6"/>
      <c r="E930" s="6"/>
      <c r="F930" s="6"/>
      <c r="G930" s="6"/>
      <c r="H930" s="6"/>
      <c r="I930" s="6"/>
      <c r="J930" s="6"/>
      <c r="K930" s="6"/>
      <c r="L930" s="6"/>
      <c r="M930" s="6"/>
      <c r="N930" s="6"/>
      <c r="O930" s="7"/>
      <c r="P930" s="6"/>
      <c r="Q930" s="6"/>
      <c r="R930" s="6"/>
      <c r="S930" s="6"/>
      <c r="T930" s="8"/>
    </row>
    <row r="931" spans="1:20" x14ac:dyDescent="0.3">
      <c r="A931" s="1"/>
      <c r="B931" s="2"/>
      <c r="C931" s="2"/>
      <c r="D931" s="2"/>
      <c r="E931" s="2"/>
      <c r="F931" s="2"/>
      <c r="G931" s="2"/>
      <c r="H931" s="2"/>
      <c r="I931" s="2"/>
      <c r="J931" s="2"/>
      <c r="K931" s="2"/>
      <c r="L931" s="2"/>
      <c r="M931" s="2"/>
      <c r="N931" s="2"/>
      <c r="O931" s="2"/>
      <c r="P931" s="2"/>
      <c r="Q931" s="2"/>
      <c r="R931" s="2"/>
      <c r="S931" s="2"/>
      <c r="T931" s="4"/>
    </row>
    <row r="932" spans="1:20" x14ac:dyDescent="0.3">
      <c r="A932" s="5"/>
      <c r="B932" s="6"/>
      <c r="C932" s="6"/>
      <c r="D932" s="6"/>
      <c r="E932" s="6"/>
      <c r="F932" s="6"/>
      <c r="G932" s="6"/>
      <c r="H932" s="6"/>
      <c r="I932" s="6"/>
      <c r="J932" s="6"/>
      <c r="K932" s="6"/>
      <c r="L932" s="6"/>
      <c r="M932" s="6"/>
      <c r="N932" s="6"/>
      <c r="O932" s="6"/>
      <c r="P932" s="6"/>
      <c r="Q932" s="6"/>
      <c r="R932" s="6"/>
      <c r="S932" s="6"/>
      <c r="T932" s="8"/>
    </row>
    <row r="933" spans="1:20" x14ac:dyDescent="0.3">
      <c r="A933" s="1"/>
      <c r="B933" s="2"/>
      <c r="C933" s="2"/>
      <c r="D933" s="2"/>
      <c r="E933" s="2"/>
      <c r="F933" s="2"/>
      <c r="G933" s="2"/>
      <c r="H933" s="2"/>
      <c r="I933" s="2"/>
      <c r="J933" s="2"/>
      <c r="K933" s="2"/>
      <c r="L933" s="2"/>
      <c r="M933" s="2"/>
      <c r="N933" s="2"/>
      <c r="O933" s="2"/>
      <c r="P933" s="2"/>
      <c r="Q933" s="2"/>
      <c r="R933" s="2"/>
      <c r="S933" s="2"/>
      <c r="T933" s="4"/>
    </row>
    <row r="934" spans="1:20" x14ac:dyDescent="0.3">
      <c r="A934" s="5"/>
      <c r="B934" s="6"/>
      <c r="C934" s="6"/>
      <c r="D934" s="6"/>
      <c r="E934" s="6"/>
      <c r="F934" s="6"/>
      <c r="G934" s="6"/>
      <c r="H934" s="6"/>
      <c r="I934" s="6"/>
      <c r="J934" s="6"/>
      <c r="K934" s="6"/>
      <c r="L934" s="6"/>
      <c r="M934" s="6"/>
      <c r="N934" s="6"/>
      <c r="O934" s="6"/>
      <c r="P934" s="6"/>
      <c r="Q934" s="6"/>
      <c r="R934" s="6"/>
      <c r="S934" s="6"/>
      <c r="T934" s="8"/>
    </row>
    <row r="935" spans="1:20" x14ac:dyDescent="0.3">
      <c r="A935" s="1"/>
      <c r="B935" s="2"/>
      <c r="C935" s="2"/>
      <c r="D935" s="2"/>
      <c r="E935" s="2"/>
      <c r="F935" s="2"/>
      <c r="G935" s="2"/>
      <c r="H935" s="2"/>
      <c r="I935" s="2"/>
      <c r="J935" s="2"/>
      <c r="K935" s="2"/>
      <c r="L935" s="2"/>
      <c r="M935" s="2"/>
      <c r="N935" s="2"/>
      <c r="O935" s="2"/>
      <c r="P935" s="2"/>
      <c r="Q935" s="2"/>
      <c r="R935" s="2"/>
      <c r="S935" s="2"/>
      <c r="T935" s="4"/>
    </row>
    <row r="936" spans="1:20" x14ac:dyDescent="0.3">
      <c r="A936" s="5"/>
      <c r="B936" s="6"/>
      <c r="C936" s="6"/>
      <c r="D936" s="6"/>
      <c r="E936" s="6"/>
      <c r="F936" s="6"/>
      <c r="G936" s="6"/>
      <c r="H936" s="6"/>
      <c r="I936" s="6"/>
      <c r="J936" s="6"/>
      <c r="K936" s="6"/>
      <c r="L936" s="6"/>
      <c r="M936" s="6"/>
      <c r="N936" s="6"/>
      <c r="O936" s="7"/>
      <c r="P936" s="6"/>
      <c r="Q936" s="6"/>
      <c r="R936" s="6"/>
      <c r="S936" s="6"/>
      <c r="T936" s="8"/>
    </row>
    <row r="937" spans="1:20" x14ac:dyDescent="0.3">
      <c r="A937" s="1"/>
      <c r="B937" s="2"/>
      <c r="C937" s="2"/>
      <c r="D937" s="2"/>
      <c r="E937" s="2"/>
      <c r="F937" s="2"/>
      <c r="G937" s="2"/>
      <c r="H937" s="2"/>
      <c r="I937" s="2"/>
      <c r="J937" s="2"/>
      <c r="K937" s="2"/>
      <c r="L937" s="2"/>
      <c r="M937" s="2"/>
      <c r="N937" s="2"/>
      <c r="O937" s="3"/>
      <c r="P937" s="2"/>
      <c r="Q937" s="2"/>
      <c r="R937" s="2"/>
      <c r="S937" s="2"/>
      <c r="T937" s="4"/>
    </row>
    <row r="938" spans="1:20" x14ac:dyDescent="0.3">
      <c r="A938" s="5"/>
      <c r="B938" s="6"/>
      <c r="C938" s="6"/>
      <c r="D938" s="6"/>
      <c r="E938" s="6"/>
      <c r="F938" s="6"/>
      <c r="G938" s="6"/>
      <c r="H938" s="6"/>
      <c r="I938" s="6"/>
      <c r="J938" s="6"/>
      <c r="K938" s="6"/>
      <c r="L938" s="6"/>
      <c r="M938" s="6"/>
      <c r="N938" s="6"/>
      <c r="O938" s="6"/>
      <c r="P938" s="6"/>
      <c r="Q938" s="6"/>
      <c r="R938" s="6"/>
      <c r="S938" s="6"/>
      <c r="T938" s="8"/>
    </row>
    <row r="939" spans="1:20" x14ac:dyDescent="0.3">
      <c r="A939" s="1"/>
      <c r="B939" s="2"/>
      <c r="C939" s="2"/>
      <c r="D939" s="2"/>
      <c r="E939" s="2"/>
      <c r="F939" s="2"/>
      <c r="G939" s="2"/>
      <c r="H939" s="2"/>
      <c r="I939" s="2"/>
      <c r="J939" s="2"/>
      <c r="K939" s="2"/>
      <c r="L939" s="2"/>
      <c r="M939" s="2"/>
      <c r="N939" s="2"/>
      <c r="O939" s="2"/>
      <c r="P939" s="2"/>
      <c r="Q939" s="2"/>
      <c r="R939" s="2"/>
      <c r="S939" s="2"/>
      <c r="T939" s="4"/>
    </row>
    <row r="940" spans="1:20" x14ac:dyDescent="0.3">
      <c r="A940" s="5"/>
      <c r="B940" s="6"/>
      <c r="C940" s="6"/>
      <c r="D940" s="6"/>
      <c r="E940" s="6"/>
      <c r="F940" s="6"/>
      <c r="G940" s="6"/>
      <c r="H940" s="6"/>
      <c r="I940" s="6"/>
      <c r="J940" s="6"/>
      <c r="K940" s="6"/>
      <c r="L940" s="6"/>
      <c r="M940" s="6"/>
      <c r="N940" s="6"/>
      <c r="O940" s="7"/>
      <c r="P940" s="6"/>
      <c r="Q940" s="6"/>
      <c r="R940" s="6"/>
      <c r="S940" s="6"/>
      <c r="T940" s="8"/>
    </row>
    <row r="941" spans="1:20" x14ac:dyDescent="0.3">
      <c r="A941" s="1"/>
      <c r="B941" s="2"/>
      <c r="C941" s="2"/>
      <c r="D941" s="2"/>
      <c r="E941" s="2"/>
      <c r="F941" s="2"/>
      <c r="G941" s="2"/>
      <c r="H941" s="2"/>
      <c r="I941" s="2"/>
      <c r="J941" s="2"/>
      <c r="K941" s="2"/>
      <c r="L941" s="2"/>
      <c r="M941" s="2"/>
      <c r="N941" s="2"/>
      <c r="O941" s="2"/>
      <c r="P941" s="2"/>
      <c r="Q941" s="2"/>
      <c r="R941" s="2"/>
      <c r="S941" s="2"/>
      <c r="T941" s="4"/>
    </row>
    <row r="942" spans="1:20" x14ac:dyDescent="0.3">
      <c r="A942" s="5"/>
      <c r="B942" s="6"/>
      <c r="C942" s="6"/>
      <c r="D942" s="6"/>
      <c r="E942" s="6"/>
      <c r="F942" s="6"/>
      <c r="G942" s="6"/>
      <c r="H942" s="6"/>
      <c r="I942" s="6"/>
      <c r="J942" s="6"/>
      <c r="K942" s="6"/>
      <c r="L942" s="6"/>
      <c r="M942" s="6"/>
      <c r="N942" s="6"/>
      <c r="O942" s="6"/>
      <c r="P942" s="6"/>
      <c r="Q942" s="6"/>
      <c r="R942" s="6"/>
      <c r="S942" s="6"/>
      <c r="T942" s="8"/>
    </row>
    <row r="943" spans="1:20" x14ac:dyDescent="0.3">
      <c r="A943" s="1"/>
      <c r="B943" s="2"/>
      <c r="C943" s="2"/>
      <c r="D943" s="2"/>
      <c r="E943" s="2"/>
      <c r="F943" s="2"/>
      <c r="G943" s="2"/>
      <c r="H943" s="2"/>
      <c r="I943" s="2"/>
      <c r="J943" s="2"/>
      <c r="K943" s="2"/>
      <c r="L943" s="2"/>
      <c r="M943" s="2"/>
      <c r="N943" s="2"/>
      <c r="O943" s="2"/>
      <c r="P943" s="2"/>
      <c r="Q943" s="2"/>
      <c r="R943" s="2"/>
      <c r="S943" s="2"/>
      <c r="T943" s="4"/>
    </row>
    <row r="944" spans="1:20" x14ac:dyDescent="0.3">
      <c r="A944" s="5"/>
      <c r="B944" s="6"/>
      <c r="C944" s="6"/>
      <c r="D944" s="6"/>
      <c r="E944" s="6"/>
      <c r="F944" s="6"/>
      <c r="G944" s="6"/>
      <c r="H944" s="6"/>
      <c r="I944" s="6"/>
      <c r="J944" s="6"/>
      <c r="K944" s="6"/>
      <c r="L944" s="6"/>
      <c r="M944" s="6"/>
      <c r="N944" s="6"/>
      <c r="O944" s="6"/>
      <c r="P944" s="6"/>
      <c r="Q944" s="6"/>
      <c r="R944" s="6"/>
      <c r="S944" s="6"/>
      <c r="T944" s="8"/>
    </row>
    <row r="945" spans="1:20" x14ac:dyDescent="0.3">
      <c r="A945" s="1"/>
      <c r="B945" s="2"/>
      <c r="C945" s="2"/>
      <c r="D945" s="2"/>
      <c r="E945" s="2"/>
      <c r="F945" s="2"/>
      <c r="G945" s="2"/>
      <c r="H945" s="2"/>
      <c r="I945" s="2"/>
      <c r="J945" s="2"/>
      <c r="K945" s="2"/>
      <c r="L945" s="2"/>
      <c r="M945" s="2"/>
      <c r="N945" s="2"/>
      <c r="O945" s="2"/>
      <c r="P945" s="2"/>
      <c r="Q945" s="2"/>
      <c r="R945" s="2"/>
      <c r="S945" s="2"/>
      <c r="T945" s="4"/>
    </row>
    <row r="946" spans="1:20" x14ac:dyDescent="0.3">
      <c r="A946" s="5"/>
      <c r="B946" s="6"/>
      <c r="C946" s="6"/>
      <c r="D946" s="6"/>
      <c r="E946" s="6"/>
      <c r="F946" s="6"/>
      <c r="G946" s="6"/>
      <c r="H946" s="6"/>
      <c r="I946" s="6"/>
      <c r="J946" s="6"/>
      <c r="K946" s="6"/>
      <c r="L946" s="6"/>
      <c r="M946" s="6"/>
      <c r="N946" s="6"/>
      <c r="O946" s="6"/>
      <c r="P946" s="6"/>
      <c r="Q946" s="6"/>
      <c r="R946" s="6"/>
      <c r="S946" s="6"/>
      <c r="T946" s="8"/>
    </row>
    <row r="947" spans="1:20" x14ac:dyDescent="0.3">
      <c r="A947" s="1"/>
      <c r="B947" s="2"/>
      <c r="C947" s="2"/>
      <c r="D947" s="2"/>
      <c r="E947" s="2"/>
      <c r="F947" s="2"/>
      <c r="G947" s="2"/>
      <c r="H947" s="2"/>
      <c r="I947" s="2"/>
      <c r="J947" s="2"/>
      <c r="K947" s="2"/>
      <c r="L947" s="2"/>
      <c r="M947" s="2"/>
      <c r="N947" s="2"/>
      <c r="O947" s="2"/>
      <c r="P947" s="2"/>
      <c r="Q947" s="2"/>
      <c r="R947" s="2"/>
      <c r="S947" s="2"/>
      <c r="T947" s="4"/>
    </row>
    <row r="948" spans="1:20" x14ac:dyDescent="0.3">
      <c r="A948" s="5"/>
      <c r="B948" s="6"/>
      <c r="C948" s="6"/>
      <c r="D948" s="6"/>
      <c r="E948" s="6"/>
      <c r="F948" s="6"/>
      <c r="G948" s="6"/>
      <c r="H948" s="6"/>
      <c r="I948" s="6"/>
      <c r="J948" s="6"/>
      <c r="K948" s="6"/>
      <c r="L948" s="6"/>
      <c r="M948" s="6"/>
      <c r="N948" s="6"/>
      <c r="O948" s="7"/>
      <c r="P948" s="6"/>
      <c r="Q948" s="6"/>
      <c r="R948" s="6"/>
      <c r="S948" s="6"/>
      <c r="T948" s="8"/>
    </row>
    <row r="949" spans="1:20" x14ac:dyDescent="0.3">
      <c r="A949" s="1"/>
      <c r="B949" s="2"/>
      <c r="C949" s="2"/>
      <c r="D949" s="2"/>
      <c r="E949" s="2"/>
      <c r="F949" s="2"/>
      <c r="G949" s="2"/>
      <c r="H949" s="2"/>
      <c r="I949" s="2"/>
      <c r="J949" s="2"/>
      <c r="K949" s="2"/>
      <c r="L949" s="2"/>
      <c r="M949" s="2"/>
      <c r="N949" s="2"/>
      <c r="O949" s="2"/>
      <c r="P949" s="2"/>
      <c r="Q949" s="2"/>
      <c r="R949" s="2"/>
      <c r="S949" s="2"/>
      <c r="T949" s="4"/>
    </row>
    <row r="950" spans="1:20" x14ac:dyDescent="0.3">
      <c r="A950" s="5"/>
      <c r="B950" s="6"/>
      <c r="C950" s="6"/>
      <c r="D950" s="6"/>
      <c r="E950" s="6"/>
      <c r="F950" s="6"/>
      <c r="G950" s="6"/>
      <c r="H950" s="6"/>
      <c r="I950" s="6"/>
      <c r="J950" s="6"/>
      <c r="K950" s="6"/>
      <c r="L950" s="6"/>
      <c r="M950" s="6"/>
      <c r="N950" s="6"/>
      <c r="O950" s="6"/>
      <c r="P950" s="6"/>
      <c r="Q950" s="6"/>
      <c r="R950" s="6"/>
      <c r="S950" s="6"/>
      <c r="T950" s="8"/>
    </row>
    <row r="951" spans="1:20" x14ac:dyDescent="0.3">
      <c r="A951" s="1"/>
      <c r="B951" s="2"/>
      <c r="C951" s="2"/>
      <c r="D951" s="2"/>
      <c r="E951" s="2"/>
      <c r="F951" s="2"/>
      <c r="G951" s="2"/>
      <c r="H951" s="2"/>
      <c r="I951" s="2"/>
      <c r="J951" s="2"/>
      <c r="K951" s="2"/>
      <c r="L951" s="2"/>
      <c r="M951" s="2"/>
      <c r="N951" s="2"/>
      <c r="O951" s="2"/>
      <c r="P951" s="2"/>
      <c r="Q951" s="2"/>
      <c r="R951" s="2"/>
      <c r="S951" s="2"/>
      <c r="T951" s="4"/>
    </row>
    <row r="952" spans="1:20" x14ac:dyDescent="0.3">
      <c r="A952" s="5"/>
      <c r="B952" s="6"/>
      <c r="C952" s="6"/>
      <c r="D952" s="6"/>
      <c r="E952" s="6"/>
      <c r="F952" s="6"/>
      <c r="G952" s="6"/>
      <c r="H952" s="6"/>
      <c r="I952" s="6"/>
      <c r="J952" s="6"/>
      <c r="K952" s="6"/>
      <c r="L952" s="6"/>
      <c r="M952" s="6"/>
      <c r="N952" s="6"/>
      <c r="O952" s="7"/>
      <c r="P952" s="6"/>
      <c r="Q952" s="6"/>
      <c r="R952" s="6"/>
      <c r="S952" s="6"/>
      <c r="T952" s="8"/>
    </row>
    <row r="953" spans="1:20" x14ac:dyDescent="0.3">
      <c r="A953" s="1"/>
      <c r="B953" s="2"/>
      <c r="C953" s="2"/>
      <c r="D953" s="2"/>
      <c r="E953" s="2"/>
      <c r="F953" s="2"/>
      <c r="G953" s="2"/>
      <c r="H953" s="2"/>
      <c r="I953" s="2"/>
      <c r="J953" s="2"/>
      <c r="K953" s="2"/>
      <c r="L953" s="2"/>
      <c r="M953" s="2"/>
      <c r="N953" s="2"/>
      <c r="O953" s="2"/>
      <c r="P953" s="2"/>
      <c r="Q953" s="2"/>
      <c r="R953" s="2"/>
      <c r="S953" s="2"/>
      <c r="T953" s="4"/>
    </row>
    <row r="954" spans="1:20" x14ac:dyDescent="0.3">
      <c r="A954" s="5"/>
      <c r="B954" s="6"/>
      <c r="C954" s="6"/>
      <c r="D954" s="6"/>
      <c r="E954" s="6"/>
      <c r="F954" s="6"/>
      <c r="G954" s="6"/>
      <c r="H954" s="6"/>
      <c r="I954" s="6"/>
      <c r="J954" s="6"/>
      <c r="K954" s="6"/>
      <c r="L954" s="6"/>
      <c r="M954" s="6"/>
      <c r="N954" s="6"/>
      <c r="O954" s="7"/>
      <c r="P954" s="6"/>
      <c r="Q954" s="6"/>
      <c r="R954" s="6"/>
      <c r="S954" s="6"/>
      <c r="T954" s="8"/>
    </row>
    <row r="955" spans="1:20" x14ac:dyDescent="0.3">
      <c r="A955" s="1"/>
      <c r="B955" s="2"/>
      <c r="C955" s="2"/>
      <c r="D955" s="2"/>
      <c r="E955" s="2"/>
      <c r="F955" s="2"/>
      <c r="G955" s="2"/>
      <c r="H955" s="2"/>
      <c r="I955" s="2"/>
      <c r="J955" s="2"/>
      <c r="K955" s="2"/>
      <c r="L955" s="2"/>
      <c r="M955" s="2"/>
      <c r="N955" s="2"/>
      <c r="O955" s="2"/>
      <c r="P955" s="2"/>
      <c r="Q955" s="2"/>
      <c r="R955" s="2"/>
      <c r="S955" s="2"/>
      <c r="T955" s="4"/>
    </row>
    <row r="956" spans="1:20" x14ac:dyDescent="0.3">
      <c r="A956" s="5"/>
      <c r="B956" s="6"/>
      <c r="C956" s="6"/>
      <c r="D956" s="6"/>
      <c r="E956" s="6"/>
      <c r="F956" s="6"/>
      <c r="G956" s="6"/>
      <c r="H956" s="6"/>
      <c r="I956" s="6"/>
      <c r="J956" s="6"/>
      <c r="K956" s="6"/>
      <c r="L956" s="6"/>
      <c r="M956" s="6"/>
      <c r="N956" s="6"/>
      <c r="O956" s="6"/>
      <c r="P956" s="6"/>
      <c r="Q956" s="6"/>
      <c r="R956" s="6"/>
      <c r="S956" s="6"/>
      <c r="T956" s="8"/>
    </row>
    <row r="957" spans="1:20" x14ac:dyDescent="0.3">
      <c r="A957" s="1"/>
      <c r="B957" s="2"/>
      <c r="C957" s="2"/>
      <c r="D957" s="2"/>
      <c r="E957" s="2"/>
      <c r="F957" s="2"/>
      <c r="G957" s="2"/>
      <c r="H957" s="2"/>
      <c r="I957" s="2"/>
      <c r="J957" s="2"/>
      <c r="K957" s="2"/>
      <c r="L957" s="2"/>
      <c r="M957" s="2"/>
      <c r="N957" s="2"/>
      <c r="O957" s="2"/>
      <c r="P957" s="2"/>
      <c r="Q957" s="2"/>
      <c r="R957" s="2"/>
      <c r="S957" s="2"/>
      <c r="T957" s="4"/>
    </row>
    <row r="958" spans="1:20" x14ac:dyDescent="0.3">
      <c r="A958" s="5"/>
      <c r="B958" s="6"/>
      <c r="C958" s="6"/>
      <c r="D958" s="6"/>
      <c r="E958" s="6"/>
      <c r="F958" s="6"/>
      <c r="G958" s="6"/>
      <c r="H958" s="6"/>
      <c r="I958" s="6"/>
      <c r="J958" s="6"/>
      <c r="K958" s="6"/>
      <c r="L958" s="6"/>
      <c r="M958" s="6"/>
      <c r="N958" s="6"/>
      <c r="O958" s="6"/>
      <c r="P958" s="6"/>
      <c r="Q958" s="6"/>
      <c r="R958" s="6"/>
      <c r="S958" s="6"/>
      <c r="T958" s="8"/>
    </row>
    <row r="959" spans="1:20" x14ac:dyDescent="0.3">
      <c r="A959" s="1"/>
      <c r="B959" s="2"/>
      <c r="C959" s="2"/>
      <c r="D959" s="2"/>
      <c r="E959" s="2"/>
      <c r="F959" s="2"/>
      <c r="G959" s="2"/>
      <c r="H959" s="2"/>
      <c r="I959" s="2"/>
      <c r="J959" s="2"/>
      <c r="K959" s="2"/>
      <c r="L959" s="2"/>
      <c r="M959" s="2"/>
      <c r="N959" s="2"/>
      <c r="O959" s="3"/>
      <c r="P959" s="2"/>
      <c r="Q959" s="2"/>
      <c r="R959" s="2"/>
      <c r="S959" s="2"/>
      <c r="T959" s="4"/>
    </row>
    <row r="960" spans="1:20" x14ac:dyDescent="0.3">
      <c r="A960" s="5"/>
      <c r="B960" s="6"/>
      <c r="C960" s="6"/>
      <c r="D960" s="6"/>
      <c r="E960" s="6"/>
      <c r="F960" s="6"/>
      <c r="G960" s="6"/>
      <c r="H960" s="6"/>
      <c r="I960" s="6"/>
      <c r="J960" s="6"/>
      <c r="K960" s="6"/>
      <c r="L960" s="6"/>
      <c r="M960" s="6"/>
      <c r="N960" s="6"/>
      <c r="O960" s="6"/>
      <c r="P960" s="6"/>
      <c r="Q960" s="6"/>
      <c r="R960" s="6"/>
      <c r="S960" s="6"/>
      <c r="T960" s="8"/>
    </row>
    <row r="961" spans="1:20" x14ac:dyDescent="0.3">
      <c r="A961" s="1"/>
      <c r="B961" s="2"/>
      <c r="C961" s="2"/>
      <c r="D961" s="2"/>
      <c r="E961" s="2"/>
      <c r="F961" s="2"/>
      <c r="G961" s="2"/>
      <c r="H961" s="2"/>
      <c r="I961" s="2"/>
      <c r="J961" s="2"/>
      <c r="K961" s="2"/>
      <c r="L961" s="2"/>
      <c r="M961" s="2"/>
      <c r="N961" s="2"/>
      <c r="O961" s="2"/>
      <c r="P961" s="2"/>
      <c r="Q961" s="2"/>
      <c r="R961" s="2"/>
      <c r="S961" s="2"/>
      <c r="T961" s="4"/>
    </row>
    <row r="962" spans="1:20" x14ac:dyDescent="0.3">
      <c r="A962" s="5"/>
      <c r="B962" s="6"/>
      <c r="C962" s="6"/>
      <c r="D962" s="6"/>
      <c r="E962" s="6"/>
      <c r="F962" s="6"/>
      <c r="G962" s="6"/>
      <c r="H962" s="6"/>
      <c r="I962" s="6"/>
      <c r="J962" s="6"/>
      <c r="K962" s="6"/>
      <c r="L962" s="6"/>
      <c r="M962" s="6"/>
      <c r="N962" s="6"/>
      <c r="O962" s="6"/>
      <c r="P962" s="6"/>
      <c r="Q962" s="6"/>
      <c r="R962" s="6"/>
      <c r="S962" s="6"/>
      <c r="T962" s="8"/>
    </row>
    <row r="963" spans="1:20" x14ac:dyDescent="0.3">
      <c r="A963" s="1"/>
      <c r="B963" s="2"/>
      <c r="C963" s="2"/>
      <c r="D963" s="2"/>
      <c r="E963" s="2"/>
      <c r="F963" s="2"/>
      <c r="G963" s="2"/>
      <c r="H963" s="2"/>
      <c r="I963" s="2"/>
      <c r="J963" s="2"/>
      <c r="K963" s="2"/>
      <c r="L963" s="2"/>
      <c r="M963" s="2"/>
      <c r="N963" s="2"/>
      <c r="O963" s="3"/>
      <c r="P963" s="2"/>
      <c r="Q963" s="2"/>
      <c r="R963" s="2"/>
      <c r="S963" s="2"/>
      <c r="T963" s="4"/>
    </row>
    <row r="964" spans="1:20" x14ac:dyDescent="0.3">
      <c r="A964" s="5"/>
      <c r="B964" s="6"/>
      <c r="C964" s="6"/>
      <c r="D964" s="6"/>
      <c r="E964" s="6"/>
      <c r="F964" s="6"/>
      <c r="G964" s="6"/>
      <c r="H964" s="6"/>
      <c r="I964" s="6"/>
      <c r="J964" s="6"/>
      <c r="K964" s="6"/>
      <c r="L964" s="6"/>
      <c r="M964" s="6"/>
      <c r="N964" s="6"/>
      <c r="O964" s="7"/>
      <c r="P964" s="6"/>
      <c r="Q964" s="6"/>
      <c r="R964" s="6"/>
      <c r="S964" s="6"/>
      <c r="T964" s="8"/>
    </row>
    <row r="965" spans="1:20" x14ac:dyDescent="0.3">
      <c r="A965" s="1"/>
      <c r="B965" s="2"/>
      <c r="C965" s="2"/>
      <c r="D965" s="2"/>
      <c r="E965" s="2"/>
      <c r="F965" s="2"/>
      <c r="G965" s="2"/>
      <c r="H965" s="2"/>
      <c r="I965" s="2"/>
      <c r="J965" s="2"/>
      <c r="K965" s="2"/>
      <c r="L965" s="2"/>
      <c r="M965" s="2"/>
      <c r="N965" s="2"/>
      <c r="O965" s="2"/>
      <c r="P965" s="2"/>
      <c r="Q965" s="2"/>
      <c r="R965" s="2"/>
      <c r="S965" s="2"/>
      <c r="T965" s="4"/>
    </row>
    <row r="966" spans="1:20" x14ac:dyDescent="0.3">
      <c r="A966" s="5"/>
      <c r="B966" s="6"/>
      <c r="C966" s="6"/>
      <c r="D966" s="6"/>
      <c r="E966" s="6"/>
      <c r="F966" s="6"/>
      <c r="G966" s="6"/>
      <c r="H966" s="6"/>
      <c r="I966" s="6"/>
      <c r="J966" s="6"/>
      <c r="K966" s="6"/>
      <c r="L966" s="6"/>
      <c r="M966" s="6"/>
      <c r="N966" s="6"/>
      <c r="O966" s="7"/>
      <c r="P966" s="6"/>
      <c r="Q966" s="6"/>
      <c r="R966" s="6"/>
      <c r="S966" s="6"/>
      <c r="T966" s="8"/>
    </row>
    <row r="967" spans="1:20" x14ac:dyDescent="0.3">
      <c r="A967" s="1"/>
      <c r="B967" s="2"/>
      <c r="C967" s="2"/>
      <c r="D967" s="2"/>
      <c r="E967" s="2"/>
      <c r="F967" s="2"/>
      <c r="G967" s="2"/>
      <c r="H967" s="2"/>
      <c r="I967" s="2"/>
      <c r="J967" s="2"/>
      <c r="K967" s="2"/>
      <c r="L967" s="2"/>
      <c r="M967" s="2"/>
      <c r="N967" s="2"/>
      <c r="O967" s="2"/>
      <c r="P967" s="2"/>
      <c r="Q967" s="2"/>
      <c r="R967" s="2"/>
      <c r="S967" s="2"/>
      <c r="T967" s="4"/>
    </row>
    <row r="968" spans="1:20" x14ac:dyDescent="0.3">
      <c r="A968" s="5"/>
      <c r="B968" s="6"/>
      <c r="C968" s="6"/>
      <c r="D968" s="6"/>
      <c r="E968" s="6"/>
      <c r="F968" s="6"/>
      <c r="G968" s="6"/>
      <c r="H968" s="6"/>
      <c r="I968" s="6"/>
      <c r="J968" s="6"/>
      <c r="K968" s="6"/>
      <c r="L968" s="6"/>
      <c r="M968" s="6"/>
      <c r="N968" s="6"/>
      <c r="O968" s="7"/>
      <c r="P968" s="6"/>
      <c r="Q968" s="6"/>
      <c r="R968" s="6"/>
      <c r="S968" s="6"/>
      <c r="T968" s="8"/>
    </row>
    <row r="969" spans="1:20" x14ac:dyDescent="0.3">
      <c r="A969" s="1"/>
      <c r="B969" s="2"/>
      <c r="C969" s="2"/>
      <c r="D969" s="2"/>
      <c r="E969" s="2"/>
      <c r="F969" s="2"/>
      <c r="G969" s="2"/>
      <c r="H969" s="2"/>
      <c r="I969" s="2"/>
      <c r="J969" s="2"/>
      <c r="K969" s="2"/>
      <c r="L969" s="2"/>
      <c r="M969" s="2"/>
      <c r="N969" s="2"/>
      <c r="O969" s="3"/>
      <c r="P969" s="2"/>
      <c r="Q969" s="2"/>
      <c r="R969" s="2"/>
      <c r="S969" s="2"/>
      <c r="T969" s="4"/>
    </row>
    <row r="970" spans="1:20" x14ac:dyDescent="0.3">
      <c r="A970" s="5"/>
      <c r="B970" s="6"/>
      <c r="C970" s="6"/>
      <c r="D970" s="6"/>
      <c r="E970" s="6"/>
      <c r="F970" s="6"/>
      <c r="G970" s="6"/>
      <c r="H970" s="6"/>
      <c r="I970" s="6"/>
      <c r="J970" s="6"/>
      <c r="K970" s="6"/>
      <c r="L970" s="6"/>
      <c r="M970" s="6"/>
      <c r="N970" s="6"/>
      <c r="O970" s="6"/>
      <c r="P970" s="6"/>
      <c r="Q970" s="6"/>
      <c r="R970" s="6"/>
      <c r="S970" s="6"/>
      <c r="T970" s="8"/>
    </row>
    <row r="971" spans="1:20" x14ac:dyDescent="0.3">
      <c r="A971" s="1"/>
      <c r="B971" s="2"/>
      <c r="C971" s="2"/>
      <c r="D971" s="2"/>
      <c r="E971" s="2"/>
      <c r="F971" s="2"/>
      <c r="G971" s="2"/>
      <c r="H971" s="2"/>
      <c r="I971" s="2"/>
      <c r="J971" s="2"/>
      <c r="K971" s="2"/>
      <c r="L971" s="2"/>
      <c r="M971" s="2"/>
      <c r="N971" s="2"/>
      <c r="O971" s="3"/>
      <c r="P971" s="2"/>
      <c r="Q971" s="2"/>
      <c r="R971" s="2"/>
      <c r="S971" s="2"/>
      <c r="T971" s="4"/>
    </row>
    <row r="972" spans="1:20" x14ac:dyDescent="0.3">
      <c r="A972" s="5"/>
      <c r="B972" s="6"/>
      <c r="C972" s="6"/>
      <c r="D972" s="6"/>
      <c r="E972" s="6"/>
      <c r="F972" s="6"/>
      <c r="G972" s="6"/>
      <c r="H972" s="6"/>
      <c r="I972" s="6"/>
      <c r="J972" s="6"/>
      <c r="K972" s="6"/>
      <c r="L972" s="6"/>
      <c r="M972" s="6"/>
      <c r="N972" s="6"/>
      <c r="O972" s="6"/>
      <c r="P972" s="6"/>
      <c r="Q972" s="6"/>
      <c r="R972" s="6"/>
      <c r="S972" s="6"/>
      <c r="T972" s="8"/>
    </row>
    <row r="973" spans="1:20" x14ac:dyDescent="0.3">
      <c r="A973" s="1"/>
      <c r="B973" s="2"/>
      <c r="C973" s="2"/>
      <c r="D973" s="2"/>
      <c r="E973" s="2"/>
      <c r="F973" s="2"/>
      <c r="G973" s="2"/>
      <c r="H973" s="2"/>
      <c r="I973" s="2"/>
      <c r="J973" s="2"/>
      <c r="K973" s="2"/>
      <c r="L973" s="2"/>
      <c r="M973" s="2"/>
      <c r="N973" s="2"/>
      <c r="O973" s="2"/>
      <c r="P973" s="2"/>
      <c r="Q973" s="2"/>
      <c r="R973" s="2"/>
      <c r="S973" s="2"/>
      <c r="T973" s="4"/>
    </row>
    <row r="974" spans="1:20" x14ac:dyDescent="0.3">
      <c r="A974" s="5"/>
      <c r="B974" s="6"/>
      <c r="C974" s="6"/>
      <c r="D974" s="6"/>
      <c r="E974" s="6"/>
      <c r="F974" s="6"/>
      <c r="G974" s="6"/>
      <c r="H974" s="6"/>
      <c r="I974" s="6"/>
      <c r="J974" s="6"/>
      <c r="K974" s="6"/>
      <c r="L974" s="6"/>
      <c r="M974" s="6"/>
      <c r="N974" s="6"/>
      <c r="O974" s="6"/>
      <c r="P974" s="6"/>
      <c r="Q974" s="6"/>
      <c r="R974" s="6"/>
      <c r="S974" s="6"/>
      <c r="T974" s="8"/>
    </row>
    <row r="975" spans="1:20" x14ac:dyDescent="0.3">
      <c r="A975" s="1"/>
      <c r="B975" s="2"/>
      <c r="C975" s="2"/>
      <c r="D975" s="2"/>
      <c r="E975" s="2"/>
      <c r="F975" s="2"/>
      <c r="G975" s="2"/>
      <c r="H975" s="2"/>
      <c r="I975" s="2"/>
      <c r="J975" s="2"/>
      <c r="K975" s="2"/>
      <c r="L975" s="2"/>
      <c r="M975" s="2"/>
      <c r="N975" s="2"/>
      <c r="O975" s="2"/>
      <c r="P975" s="2"/>
      <c r="Q975" s="2"/>
      <c r="R975" s="2"/>
      <c r="S975" s="2"/>
      <c r="T975" s="4"/>
    </row>
    <row r="976" spans="1:20" x14ac:dyDescent="0.3">
      <c r="A976" s="5"/>
      <c r="B976" s="6"/>
      <c r="C976" s="6"/>
      <c r="D976" s="6"/>
      <c r="E976" s="6"/>
      <c r="F976" s="6"/>
      <c r="G976" s="6"/>
      <c r="H976" s="6"/>
      <c r="I976" s="6"/>
      <c r="J976" s="6"/>
      <c r="K976" s="6"/>
      <c r="L976" s="6"/>
      <c r="M976" s="6"/>
      <c r="N976" s="6"/>
      <c r="O976" s="6"/>
      <c r="P976" s="6"/>
      <c r="Q976" s="6"/>
      <c r="R976" s="6"/>
      <c r="S976" s="6"/>
      <c r="T976" s="8"/>
    </row>
    <row r="977" spans="1:20" x14ac:dyDescent="0.3">
      <c r="A977" s="1"/>
      <c r="B977" s="2"/>
      <c r="C977" s="2"/>
      <c r="D977" s="2"/>
      <c r="E977" s="2"/>
      <c r="F977" s="2"/>
      <c r="G977" s="2"/>
      <c r="H977" s="2"/>
      <c r="I977" s="2"/>
      <c r="J977" s="2"/>
      <c r="K977" s="2"/>
      <c r="L977" s="2"/>
      <c r="M977" s="2"/>
      <c r="N977" s="2"/>
      <c r="O977" s="2"/>
      <c r="P977" s="2"/>
      <c r="Q977" s="2"/>
      <c r="R977" s="2"/>
      <c r="S977" s="2"/>
      <c r="T977" s="4"/>
    </row>
    <row r="978" spans="1:20" x14ac:dyDescent="0.3">
      <c r="A978" s="5"/>
      <c r="B978" s="6"/>
      <c r="C978" s="6"/>
      <c r="D978" s="6"/>
      <c r="E978" s="6"/>
      <c r="F978" s="6"/>
      <c r="G978" s="6"/>
      <c r="H978" s="6"/>
      <c r="I978" s="6"/>
      <c r="J978" s="6"/>
      <c r="K978" s="6"/>
      <c r="L978" s="6"/>
      <c r="M978" s="6"/>
      <c r="N978" s="6"/>
      <c r="O978" s="6"/>
      <c r="P978" s="6"/>
      <c r="Q978" s="6"/>
      <c r="R978" s="6"/>
      <c r="S978" s="6"/>
      <c r="T978" s="8"/>
    </row>
    <row r="979" spans="1:20" x14ac:dyDescent="0.3">
      <c r="A979" s="1"/>
      <c r="B979" s="2"/>
      <c r="C979" s="2"/>
      <c r="D979" s="2"/>
      <c r="E979" s="2"/>
      <c r="F979" s="2"/>
      <c r="G979" s="2"/>
      <c r="H979" s="2"/>
      <c r="I979" s="2"/>
      <c r="J979" s="2"/>
      <c r="K979" s="2"/>
      <c r="L979" s="2"/>
      <c r="M979" s="2"/>
      <c r="N979" s="2"/>
      <c r="O979" s="3"/>
      <c r="P979" s="2"/>
      <c r="Q979" s="2"/>
      <c r="R979" s="2"/>
      <c r="S979" s="2"/>
      <c r="T979" s="4"/>
    </row>
    <row r="980" spans="1:20" x14ac:dyDescent="0.3">
      <c r="A980" s="5"/>
      <c r="B980" s="6"/>
      <c r="C980" s="6"/>
      <c r="D980" s="6"/>
      <c r="E980" s="6"/>
      <c r="F980" s="6"/>
      <c r="G980" s="6"/>
      <c r="H980" s="6"/>
      <c r="I980" s="6"/>
      <c r="J980" s="6"/>
      <c r="K980" s="6"/>
      <c r="L980" s="6"/>
      <c r="M980" s="6"/>
      <c r="N980" s="6"/>
      <c r="O980" s="6"/>
      <c r="P980" s="6"/>
      <c r="Q980" s="6"/>
      <c r="R980" s="6"/>
      <c r="S980" s="6"/>
      <c r="T980" s="8"/>
    </row>
    <row r="981" spans="1:20" x14ac:dyDescent="0.3">
      <c r="A981" s="1"/>
      <c r="B981" s="2"/>
      <c r="C981" s="2"/>
      <c r="D981" s="2"/>
      <c r="E981" s="2"/>
      <c r="F981" s="2"/>
      <c r="G981" s="2"/>
      <c r="H981" s="2"/>
      <c r="I981" s="2"/>
      <c r="J981" s="2"/>
      <c r="K981" s="2"/>
      <c r="L981" s="2"/>
      <c r="M981" s="2"/>
      <c r="N981" s="2"/>
      <c r="O981" s="2"/>
      <c r="P981" s="2"/>
      <c r="Q981" s="2"/>
      <c r="R981" s="2"/>
      <c r="S981" s="2"/>
      <c r="T981" s="4"/>
    </row>
    <row r="982" spans="1:20" x14ac:dyDescent="0.3">
      <c r="A982" s="5"/>
      <c r="B982" s="6"/>
      <c r="C982" s="6"/>
      <c r="D982" s="6"/>
      <c r="E982" s="6"/>
      <c r="F982" s="6"/>
      <c r="G982" s="6"/>
      <c r="H982" s="6"/>
      <c r="I982" s="6"/>
      <c r="J982" s="6"/>
      <c r="K982" s="6"/>
      <c r="L982" s="6"/>
      <c r="M982" s="6"/>
      <c r="N982" s="6"/>
      <c r="O982" s="6"/>
      <c r="P982" s="6"/>
      <c r="Q982" s="6"/>
      <c r="R982" s="6"/>
      <c r="S982" s="6"/>
      <c r="T982" s="8"/>
    </row>
    <row r="983" spans="1:20" x14ac:dyDescent="0.3">
      <c r="A983" s="1"/>
      <c r="B983" s="2"/>
      <c r="C983" s="2"/>
      <c r="D983" s="2"/>
      <c r="E983" s="2"/>
      <c r="F983" s="2"/>
      <c r="G983" s="2"/>
      <c r="H983" s="2"/>
      <c r="I983" s="2"/>
      <c r="J983" s="2"/>
      <c r="K983" s="2"/>
      <c r="L983" s="2"/>
      <c r="M983" s="2"/>
      <c r="N983" s="3"/>
      <c r="O983" s="2"/>
      <c r="P983" s="2"/>
      <c r="Q983" s="2"/>
      <c r="R983" s="2"/>
      <c r="S983" s="2"/>
      <c r="T983" s="4"/>
    </row>
    <row r="984" spans="1:20" x14ac:dyDescent="0.3">
      <c r="A984" s="5"/>
      <c r="B984" s="6"/>
      <c r="C984" s="6"/>
      <c r="D984" s="6"/>
      <c r="E984" s="6"/>
      <c r="F984" s="6"/>
      <c r="G984" s="6"/>
      <c r="H984" s="6"/>
      <c r="I984" s="6"/>
      <c r="J984" s="6"/>
      <c r="K984" s="6"/>
      <c r="L984" s="6"/>
      <c r="M984" s="6"/>
      <c r="N984" s="6"/>
      <c r="O984" s="6"/>
      <c r="P984" s="6"/>
      <c r="Q984" s="6"/>
      <c r="R984" s="6"/>
      <c r="S984" s="6"/>
      <c r="T984" s="8"/>
    </row>
    <row r="985" spans="1:20" x14ac:dyDescent="0.3">
      <c r="A985" s="1"/>
      <c r="B985" s="2"/>
      <c r="C985" s="2"/>
      <c r="D985" s="2"/>
      <c r="E985" s="2"/>
      <c r="F985" s="2"/>
      <c r="G985" s="2"/>
      <c r="H985" s="2"/>
      <c r="I985" s="2"/>
      <c r="J985" s="2"/>
      <c r="K985" s="2"/>
      <c r="L985" s="2"/>
      <c r="M985" s="2"/>
      <c r="N985" s="2"/>
      <c r="O985" s="2"/>
      <c r="P985" s="2"/>
      <c r="Q985" s="2"/>
      <c r="R985" s="2"/>
      <c r="S985" s="2"/>
      <c r="T985" s="4"/>
    </row>
    <row r="986" spans="1:20" x14ac:dyDescent="0.3">
      <c r="A986" s="5"/>
      <c r="B986" s="6"/>
      <c r="C986" s="6"/>
      <c r="D986" s="6"/>
      <c r="E986" s="6"/>
      <c r="F986" s="6"/>
      <c r="G986" s="6"/>
      <c r="H986" s="6"/>
      <c r="I986" s="6"/>
      <c r="J986" s="6"/>
      <c r="K986" s="6"/>
      <c r="L986" s="6"/>
      <c r="M986" s="6"/>
      <c r="N986" s="6"/>
      <c r="O986" s="6"/>
      <c r="P986" s="6"/>
      <c r="Q986" s="6"/>
      <c r="R986" s="6"/>
      <c r="S986" s="6"/>
      <c r="T986" s="8"/>
    </row>
    <row r="987" spans="1:20" x14ac:dyDescent="0.3">
      <c r="A987" s="1"/>
      <c r="B987" s="2"/>
      <c r="C987" s="2"/>
      <c r="D987" s="2"/>
      <c r="E987" s="2"/>
      <c r="F987" s="2"/>
      <c r="G987" s="2"/>
      <c r="H987" s="2"/>
      <c r="I987" s="2"/>
      <c r="J987" s="2"/>
      <c r="K987" s="2"/>
      <c r="L987" s="2"/>
      <c r="M987" s="2"/>
      <c r="N987" s="2"/>
      <c r="O987" s="2"/>
      <c r="P987" s="2"/>
      <c r="Q987" s="2"/>
      <c r="R987" s="2"/>
      <c r="S987" s="2"/>
      <c r="T987" s="4"/>
    </row>
    <row r="988" spans="1:20" x14ac:dyDescent="0.3">
      <c r="A988" s="5"/>
      <c r="B988" s="6"/>
      <c r="C988" s="6"/>
      <c r="D988" s="6"/>
      <c r="E988" s="6"/>
      <c r="F988" s="6"/>
      <c r="G988" s="6"/>
      <c r="H988" s="6"/>
      <c r="I988" s="6"/>
      <c r="J988" s="6"/>
      <c r="K988" s="6"/>
      <c r="L988" s="6"/>
      <c r="M988" s="6"/>
      <c r="N988" s="6"/>
      <c r="O988" s="6"/>
      <c r="P988" s="6"/>
      <c r="Q988" s="6"/>
      <c r="R988" s="6"/>
      <c r="S988" s="6"/>
      <c r="T988" s="8"/>
    </row>
    <row r="989" spans="1:20" x14ac:dyDescent="0.3">
      <c r="A989" s="1"/>
      <c r="B989" s="2"/>
      <c r="C989" s="2"/>
      <c r="D989" s="2"/>
      <c r="E989" s="2"/>
      <c r="F989" s="2"/>
      <c r="G989" s="2"/>
      <c r="H989" s="2"/>
      <c r="I989" s="2"/>
      <c r="J989" s="2"/>
      <c r="K989" s="2"/>
      <c r="L989" s="2"/>
      <c r="M989" s="2"/>
      <c r="N989" s="2"/>
      <c r="O989" s="2"/>
      <c r="P989" s="2"/>
      <c r="Q989" s="2"/>
      <c r="R989" s="2"/>
      <c r="S989" s="2"/>
      <c r="T989" s="4"/>
    </row>
    <row r="990" spans="1:20" x14ac:dyDescent="0.3">
      <c r="A990" s="5"/>
      <c r="B990" s="6"/>
      <c r="C990" s="6"/>
      <c r="D990" s="6"/>
      <c r="E990" s="6"/>
      <c r="F990" s="6"/>
      <c r="G990" s="6"/>
      <c r="H990" s="6"/>
      <c r="I990" s="6"/>
      <c r="J990" s="6"/>
      <c r="K990" s="6"/>
      <c r="L990" s="6"/>
      <c r="M990" s="6"/>
      <c r="N990" s="6"/>
      <c r="O990" s="7"/>
      <c r="P990" s="6"/>
      <c r="Q990" s="6"/>
      <c r="R990" s="6"/>
      <c r="S990" s="6"/>
      <c r="T990" s="8"/>
    </row>
    <row r="991" spans="1:20" x14ac:dyDescent="0.3">
      <c r="A991" s="1"/>
      <c r="B991" s="2"/>
      <c r="C991" s="2"/>
      <c r="D991" s="2"/>
      <c r="E991" s="2"/>
      <c r="F991" s="2"/>
      <c r="G991" s="2"/>
      <c r="H991" s="2"/>
      <c r="I991" s="2"/>
      <c r="J991" s="2"/>
      <c r="K991" s="2"/>
      <c r="L991" s="2"/>
      <c r="M991" s="2"/>
      <c r="N991" s="2"/>
      <c r="O991" s="2"/>
      <c r="P991" s="2"/>
      <c r="Q991" s="2"/>
      <c r="R991" s="2"/>
      <c r="S991" s="2"/>
      <c r="T991" s="4"/>
    </row>
    <row r="992" spans="1:20" x14ac:dyDescent="0.3">
      <c r="A992" s="5"/>
      <c r="B992" s="6"/>
      <c r="C992" s="6"/>
      <c r="D992" s="6"/>
      <c r="E992" s="6"/>
      <c r="F992" s="6"/>
      <c r="G992" s="6"/>
      <c r="H992" s="6"/>
      <c r="I992" s="6"/>
      <c r="J992" s="6"/>
      <c r="K992" s="6"/>
      <c r="L992" s="6"/>
      <c r="M992" s="6"/>
      <c r="N992" s="6"/>
      <c r="O992" s="6"/>
      <c r="P992" s="6"/>
      <c r="Q992" s="6"/>
      <c r="R992" s="6"/>
      <c r="S992" s="6"/>
      <c r="T992" s="8"/>
    </row>
    <row r="993" spans="1:20" x14ac:dyDescent="0.3">
      <c r="A993" s="1"/>
      <c r="B993" s="2"/>
      <c r="C993" s="2"/>
      <c r="D993" s="2"/>
      <c r="E993" s="2"/>
      <c r="F993" s="2"/>
      <c r="G993" s="2"/>
      <c r="H993" s="2"/>
      <c r="I993" s="2"/>
      <c r="J993" s="2"/>
      <c r="K993" s="2"/>
      <c r="L993" s="2"/>
      <c r="M993" s="2"/>
      <c r="N993" s="2"/>
      <c r="O993" s="2"/>
      <c r="P993" s="2"/>
      <c r="Q993" s="2"/>
      <c r="R993" s="2"/>
      <c r="S993" s="2"/>
      <c r="T993" s="4"/>
    </row>
    <row r="994" spans="1:20" x14ac:dyDescent="0.3">
      <c r="A994" s="5"/>
      <c r="B994" s="6"/>
      <c r="C994" s="6"/>
      <c r="D994" s="6"/>
      <c r="E994" s="6"/>
      <c r="F994" s="6"/>
      <c r="G994" s="6"/>
      <c r="H994" s="6"/>
      <c r="I994" s="6"/>
      <c r="J994" s="6"/>
      <c r="K994" s="6"/>
      <c r="L994" s="6"/>
      <c r="M994" s="6"/>
      <c r="N994" s="6"/>
      <c r="O994" s="6"/>
      <c r="P994" s="6"/>
      <c r="Q994" s="6"/>
      <c r="R994" s="6"/>
      <c r="S994" s="6"/>
      <c r="T994" s="8"/>
    </row>
    <row r="995" spans="1:20" x14ac:dyDescent="0.3">
      <c r="A995" s="1"/>
      <c r="B995" s="2"/>
      <c r="C995" s="2"/>
      <c r="D995" s="2"/>
      <c r="E995" s="2"/>
      <c r="F995" s="2"/>
      <c r="G995" s="2"/>
      <c r="H995" s="2"/>
      <c r="I995" s="2"/>
      <c r="J995" s="2"/>
      <c r="K995" s="2"/>
      <c r="L995" s="2"/>
      <c r="M995" s="2"/>
      <c r="N995" s="2"/>
      <c r="O995" s="2"/>
      <c r="P995" s="2"/>
      <c r="Q995" s="2"/>
      <c r="R995" s="2"/>
      <c r="S995" s="2"/>
      <c r="T995" s="4"/>
    </row>
    <row r="996" spans="1:20" x14ac:dyDescent="0.3">
      <c r="A996" s="5"/>
      <c r="B996" s="6"/>
      <c r="C996" s="6"/>
      <c r="D996" s="6"/>
      <c r="E996" s="6"/>
      <c r="F996" s="6"/>
      <c r="G996" s="6"/>
      <c r="H996" s="6"/>
      <c r="I996" s="6"/>
      <c r="J996" s="6"/>
      <c r="K996" s="6"/>
      <c r="L996" s="6"/>
      <c r="M996" s="6"/>
      <c r="N996" s="6"/>
      <c r="O996" s="7"/>
      <c r="P996" s="6"/>
      <c r="Q996" s="6"/>
      <c r="R996" s="6"/>
      <c r="S996" s="6"/>
      <c r="T996" s="8"/>
    </row>
    <row r="997" spans="1:20" x14ac:dyDescent="0.3">
      <c r="A997" s="1"/>
      <c r="B997" s="2"/>
      <c r="C997" s="2"/>
      <c r="D997" s="2"/>
      <c r="E997" s="2"/>
      <c r="F997" s="2"/>
      <c r="G997" s="2"/>
      <c r="H997" s="2"/>
      <c r="I997" s="2"/>
      <c r="J997" s="2"/>
      <c r="K997" s="2"/>
      <c r="L997" s="2"/>
      <c r="M997" s="2"/>
      <c r="N997" s="2"/>
      <c r="O997" s="3"/>
      <c r="P997" s="2"/>
      <c r="Q997" s="2"/>
      <c r="R997" s="2"/>
      <c r="S997" s="2"/>
      <c r="T997" s="4"/>
    </row>
    <row r="998" spans="1:20" x14ac:dyDescent="0.3">
      <c r="A998" s="5"/>
      <c r="B998" s="6"/>
      <c r="C998" s="6"/>
      <c r="D998" s="6"/>
      <c r="E998" s="6"/>
      <c r="F998" s="6"/>
      <c r="G998" s="6"/>
      <c r="H998" s="6"/>
      <c r="I998" s="6"/>
      <c r="J998" s="6"/>
      <c r="K998" s="6"/>
      <c r="L998" s="6"/>
      <c r="M998" s="6"/>
      <c r="N998" s="6"/>
      <c r="O998" s="7"/>
      <c r="P998" s="6"/>
      <c r="Q998" s="6"/>
      <c r="R998" s="6"/>
      <c r="S998" s="6"/>
      <c r="T998" s="8"/>
    </row>
    <row r="999" spans="1:20" x14ac:dyDescent="0.3">
      <c r="A999" s="1"/>
      <c r="B999" s="2"/>
      <c r="C999" s="2"/>
      <c r="D999" s="2"/>
      <c r="E999" s="2"/>
      <c r="F999" s="2"/>
      <c r="G999" s="2"/>
      <c r="H999" s="2"/>
      <c r="I999" s="2"/>
      <c r="J999" s="2"/>
      <c r="K999" s="2"/>
      <c r="L999" s="2"/>
      <c r="M999" s="2"/>
      <c r="N999" s="2"/>
      <c r="O999" s="2"/>
      <c r="P999" s="2"/>
      <c r="Q999" s="2"/>
      <c r="R999" s="2"/>
      <c r="S999" s="2"/>
      <c r="T999"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D1D60-8EAE-4E53-ABC4-DA280C2688D8}">
  <dimension ref="A1:AB500"/>
  <sheetViews>
    <sheetView zoomScale="60" workbookViewId="0">
      <selection activeCell="F1" sqref="F1"/>
    </sheetView>
  </sheetViews>
  <sheetFormatPr defaultRowHeight="14.4" x14ac:dyDescent="0.3"/>
  <cols>
    <col min="1" max="1" width="9.6640625" customWidth="1"/>
    <col min="3" max="3" width="13.6640625" customWidth="1"/>
    <col min="4" max="5" width="12.6640625" customWidth="1"/>
    <col min="6" max="6" width="11.44140625" customWidth="1"/>
    <col min="7" max="7" width="14" customWidth="1"/>
    <col min="8" max="8" width="14.109375" customWidth="1"/>
    <col min="9" max="9" width="13.21875" customWidth="1"/>
    <col min="10" max="11" width="9.21875" customWidth="1"/>
    <col min="12" max="13" width="13.33203125" customWidth="1"/>
    <col min="16" max="16" width="10.33203125" customWidth="1"/>
    <col min="18" max="18" width="13.21875" customWidth="1"/>
    <col min="19" max="19" width="13.77734375" customWidth="1"/>
    <col min="20" max="20" width="17.33203125" customWidth="1"/>
    <col min="21" max="21" width="9.6640625" customWidth="1"/>
    <col min="22" max="22" width="9.33203125" customWidth="1"/>
    <col min="24" max="24" width="15.21875" customWidth="1"/>
    <col min="25" max="25" width="12.5546875" customWidth="1"/>
    <col min="27" max="27" width="12.5546875" customWidth="1"/>
  </cols>
  <sheetData>
    <row r="1" spans="1:25" x14ac:dyDescent="0.3">
      <c r="A1" t="s">
        <v>1522</v>
      </c>
      <c r="B1" t="s">
        <v>1523</v>
      </c>
      <c r="C1" t="s">
        <v>1524</v>
      </c>
      <c r="D1" t="s">
        <v>1525</v>
      </c>
      <c r="E1" t="s">
        <v>1545</v>
      </c>
      <c r="F1" t="s">
        <v>1526</v>
      </c>
      <c r="G1" t="s">
        <v>1544</v>
      </c>
      <c r="H1" t="s">
        <v>1527</v>
      </c>
      <c r="I1" t="s">
        <v>1546</v>
      </c>
      <c r="J1" t="s">
        <v>1528</v>
      </c>
      <c r="K1" t="s">
        <v>1548</v>
      </c>
      <c r="L1" t="s">
        <v>1529</v>
      </c>
      <c r="M1" t="s">
        <v>1547</v>
      </c>
      <c r="N1" t="s">
        <v>1530</v>
      </c>
      <c r="O1" t="s">
        <v>1531</v>
      </c>
      <c r="P1" t="s">
        <v>1532</v>
      </c>
      <c r="Q1" t="s">
        <v>1533</v>
      </c>
      <c r="R1" t="s">
        <v>1534</v>
      </c>
      <c r="S1" t="s">
        <v>1535</v>
      </c>
      <c r="T1" t="s">
        <v>1536</v>
      </c>
      <c r="U1" t="s">
        <v>1537</v>
      </c>
      <c r="V1" t="s">
        <v>1538</v>
      </c>
      <c r="W1" t="s">
        <v>1539</v>
      </c>
      <c r="X1" t="s">
        <v>1540</v>
      </c>
      <c r="Y1" t="s">
        <v>1541</v>
      </c>
    </row>
    <row r="2" spans="1:25" x14ac:dyDescent="0.3">
      <c r="A2" s="14" t="s">
        <v>0</v>
      </c>
      <c r="B2" s="15" t="s">
        <v>1</v>
      </c>
      <c r="C2" s="15" t="s">
        <v>2</v>
      </c>
      <c r="D2" s="15" t="s">
        <v>2</v>
      </c>
      <c r="E2" s="15" t="str">
        <f t="shared" ref="E2:E65" si="0">IF( F2&gt;=80,"Hit",
IF(F2&gt;=60,"Popular",
IF( F2&gt;=40,"Average","Low")))</f>
        <v>Popular</v>
      </c>
      <c r="F2" s="15">
        <v>73</v>
      </c>
      <c r="G2" s="30">
        <f>H2/6000</f>
        <v>38.444333333333333</v>
      </c>
      <c r="H2" s="15">
        <v>230666</v>
      </c>
      <c r="I2" s="15" t="str">
        <f t="shared" ref="I2:I65" si="1">IF(E2=TRUE,"Explicit","Clean")</f>
        <v>Clean</v>
      </c>
      <c r="J2" s="15" t="b">
        <v>0</v>
      </c>
      <c r="K2" s="15" t="str">
        <f t="shared" ref="K2:K65" si="2">IF(L2&gt;=0.7,"Very Danceable",
IF( L2&gt;=0.4,"Moderate","Low"))</f>
        <v>Moderate</v>
      </c>
      <c r="L2" s="15">
        <v>0.67600000000000005</v>
      </c>
      <c r="M2" s="15" t="str">
        <f t="shared" ref="M2:M65" si="3">IF( N2&gt;=0.7,"High Energy",
IF( N2&gt;=0.4,"Medium Energy","Low Energy"))</f>
        <v>Medium Energy</v>
      </c>
      <c r="N2" s="15">
        <v>0.46100000000000002</v>
      </c>
      <c r="O2" s="15">
        <v>1</v>
      </c>
      <c r="P2" s="15">
        <v>-6.7460000000000004</v>
      </c>
      <c r="Q2" s="15">
        <v>0</v>
      </c>
      <c r="R2" s="15">
        <v>0.14299999999999999</v>
      </c>
      <c r="S2" s="15">
        <v>3.2199999999999999E-2</v>
      </c>
      <c r="T2" s="20" t="s">
        <v>3</v>
      </c>
      <c r="U2" s="15">
        <v>0.35799999999999998</v>
      </c>
      <c r="V2" s="15">
        <v>0.71499999999999997</v>
      </c>
      <c r="W2" s="15">
        <v>87.917000000000002</v>
      </c>
      <c r="X2" s="15">
        <v>4</v>
      </c>
      <c r="Y2" s="16" t="s">
        <v>4</v>
      </c>
    </row>
    <row r="3" spans="1:25" x14ac:dyDescent="0.3">
      <c r="A3" s="17" t="s">
        <v>5</v>
      </c>
      <c r="B3" s="18" t="s">
        <v>6</v>
      </c>
      <c r="C3" s="18" t="s">
        <v>7</v>
      </c>
      <c r="D3" s="18" t="s">
        <v>8</v>
      </c>
      <c r="E3" s="18" t="str">
        <f t="shared" si="0"/>
        <v>Average</v>
      </c>
      <c r="F3" s="18">
        <v>55</v>
      </c>
      <c r="G3" s="30">
        <f>H3/6000</f>
        <v>24.934999999999999</v>
      </c>
      <c r="H3" s="18">
        <v>149610</v>
      </c>
      <c r="I3" s="18" t="str">
        <f>IF(E3=TRUE,"Explicit","Clean")</f>
        <v>Clean</v>
      </c>
      <c r="J3" s="18" t="b">
        <v>0</v>
      </c>
      <c r="K3" s="18" t="str">
        <f t="shared" si="2"/>
        <v>Moderate</v>
      </c>
      <c r="L3" s="18">
        <v>0.42</v>
      </c>
      <c r="M3" s="18" t="str">
        <f t="shared" si="3"/>
        <v>Low Energy</v>
      </c>
      <c r="N3" s="18">
        <v>0.16600000000000001</v>
      </c>
      <c r="O3" s="18">
        <v>1</v>
      </c>
      <c r="P3" s="18">
        <v>-17.234999999999999</v>
      </c>
      <c r="Q3" s="18">
        <v>1</v>
      </c>
      <c r="R3" s="18">
        <v>7.6300000000000007E-2</v>
      </c>
      <c r="S3" s="18">
        <v>0.92400000000000004</v>
      </c>
      <c r="T3" s="21" t="s">
        <v>9</v>
      </c>
      <c r="U3" s="18">
        <v>0.10100000000000001</v>
      </c>
      <c r="V3" s="18">
        <v>0.26700000000000002</v>
      </c>
      <c r="W3" s="18">
        <v>77.489000000000004</v>
      </c>
      <c r="X3" s="18">
        <v>4</v>
      </c>
      <c r="Y3" s="19" t="s">
        <v>4</v>
      </c>
    </row>
    <row r="4" spans="1:25" x14ac:dyDescent="0.3">
      <c r="A4" s="14" t="s">
        <v>10</v>
      </c>
      <c r="B4" s="15" t="s">
        <v>11</v>
      </c>
      <c r="C4" s="15" t="s">
        <v>12</v>
      </c>
      <c r="D4" s="15" t="s">
        <v>12</v>
      </c>
      <c r="E4" s="15" t="str">
        <f t="shared" si="0"/>
        <v>Average</v>
      </c>
      <c r="F4" s="15">
        <v>57</v>
      </c>
      <c r="G4" s="30">
        <f>H4/6000</f>
        <v>35.137666666666668</v>
      </c>
      <c r="H4" s="15">
        <v>210826</v>
      </c>
      <c r="I4" s="15" t="str">
        <f t="shared" si="1"/>
        <v>Clean</v>
      </c>
      <c r="J4" s="15" t="b">
        <v>0</v>
      </c>
      <c r="K4" s="15" t="str">
        <f t="shared" si="2"/>
        <v>Moderate</v>
      </c>
      <c r="L4" s="15">
        <v>0.438</v>
      </c>
      <c r="M4" s="15" t="str">
        <f t="shared" si="3"/>
        <v>Low Energy</v>
      </c>
      <c r="N4" s="15">
        <v>0.35899999999999999</v>
      </c>
      <c r="O4" s="15">
        <v>0</v>
      </c>
      <c r="P4" s="15">
        <v>-9.734</v>
      </c>
      <c r="Q4" s="15">
        <v>1</v>
      </c>
      <c r="R4" s="15">
        <v>5.57E-2</v>
      </c>
      <c r="S4" s="15">
        <v>0.21</v>
      </c>
      <c r="T4" s="15">
        <v>0</v>
      </c>
      <c r="U4" s="15">
        <v>0.11700000000000001</v>
      </c>
      <c r="V4" s="15">
        <v>0.12</v>
      </c>
      <c r="W4" s="15">
        <v>76.331999999999994</v>
      </c>
      <c r="X4" s="15">
        <v>4</v>
      </c>
      <c r="Y4" s="16" t="s">
        <v>4</v>
      </c>
    </row>
    <row r="5" spans="1:25" x14ac:dyDescent="0.3">
      <c r="A5" s="17" t="s">
        <v>13</v>
      </c>
      <c r="B5" s="18" t="s">
        <v>14</v>
      </c>
      <c r="C5" s="18" t="s">
        <v>15</v>
      </c>
      <c r="D5" s="18" t="s">
        <v>16</v>
      </c>
      <c r="E5" s="18" t="str">
        <f t="shared" si="0"/>
        <v>Popular</v>
      </c>
      <c r="F5" s="18">
        <v>71</v>
      </c>
      <c r="G5" s="30">
        <f>H5/6000</f>
        <v>33.655500000000004</v>
      </c>
      <c r="H5" s="18">
        <v>201933</v>
      </c>
      <c r="I5" s="18" t="str">
        <f t="shared" si="1"/>
        <v>Clean</v>
      </c>
      <c r="J5" s="18" t="b">
        <v>0</v>
      </c>
      <c r="K5" s="18" t="str">
        <f t="shared" si="2"/>
        <v>Low</v>
      </c>
      <c r="L5" s="18">
        <v>0.26600000000000001</v>
      </c>
      <c r="M5" s="18" t="str">
        <f t="shared" si="3"/>
        <v>Low Energy</v>
      </c>
      <c r="N5" s="18">
        <v>5.96E-2</v>
      </c>
      <c r="O5" s="18">
        <v>0</v>
      </c>
      <c r="P5" s="18">
        <v>-18.515000000000001</v>
      </c>
      <c r="Q5" s="18">
        <v>1</v>
      </c>
      <c r="R5" s="18">
        <v>3.6299999999999999E-2</v>
      </c>
      <c r="S5" s="18">
        <v>0.90500000000000003</v>
      </c>
      <c r="T5" s="21" t="s">
        <v>17</v>
      </c>
      <c r="U5" s="18">
        <v>0.13200000000000001</v>
      </c>
      <c r="V5" s="18">
        <v>0.14299999999999999</v>
      </c>
      <c r="W5" s="18">
        <v>181.74</v>
      </c>
      <c r="X5" s="18">
        <v>3</v>
      </c>
      <c r="Y5" s="19" t="s">
        <v>4</v>
      </c>
    </row>
    <row r="6" spans="1:25" x14ac:dyDescent="0.3">
      <c r="A6" s="14" t="s">
        <v>18</v>
      </c>
      <c r="B6" s="15" t="s">
        <v>19</v>
      </c>
      <c r="C6" s="15" t="s">
        <v>20</v>
      </c>
      <c r="D6" s="15" t="s">
        <v>20</v>
      </c>
      <c r="E6" s="15" t="str">
        <f t="shared" si="0"/>
        <v>Hit</v>
      </c>
      <c r="F6" s="15">
        <v>82</v>
      </c>
      <c r="G6" s="30">
        <f>H6/6000</f>
        <v>33.142166666666668</v>
      </c>
      <c r="H6" s="15">
        <v>198853</v>
      </c>
      <c r="I6" s="15" t="str">
        <f t="shared" si="1"/>
        <v>Clean</v>
      </c>
      <c r="J6" s="15" t="b">
        <v>0</v>
      </c>
      <c r="K6" s="15" t="str">
        <f t="shared" si="2"/>
        <v>Moderate</v>
      </c>
      <c r="L6" s="15">
        <v>0.61799999999999999</v>
      </c>
      <c r="M6" s="15" t="str">
        <f t="shared" si="3"/>
        <v>Medium Energy</v>
      </c>
      <c r="N6" s="15">
        <v>0.443</v>
      </c>
      <c r="O6" s="15">
        <v>2</v>
      </c>
      <c r="P6" s="15">
        <v>-9.6809999999999992</v>
      </c>
      <c r="Q6" s="15">
        <v>1</v>
      </c>
      <c r="R6" s="15">
        <v>5.2600000000000001E-2</v>
      </c>
      <c r="S6" s="15">
        <v>0.46899999999999997</v>
      </c>
      <c r="T6" s="15">
        <v>0</v>
      </c>
      <c r="U6" s="15">
        <v>8.2900000000000001E-2</v>
      </c>
      <c r="V6" s="15">
        <v>0.16700000000000001</v>
      </c>
      <c r="W6" s="15">
        <v>119.949</v>
      </c>
      <c r="X6" s="15">
        <v>4</v>
      </c>
      <c r="Y6" s="16" t="s">
        <v>4</v>
      </c>
    </row>
    <row r="7" spans="1:25" x14ac:dyDescent="0.3">
      <c r="A7" s="17" t="s">
        <v>21</v>
      </c>
      <c r="B7" s="18" t="s">
        <v>22</v>
      </c>
      <c r="C7" s="18" t="s">
        <v>23</v>
      </c>
      <c r="D7" s="18" t="s">
        <v>23</v>
      </c>
      <c r="E7" s="18" t="str">
        <f t="shared" si="0"/>
        <v>Average</v>
      </c>
      <c r="F7" s="18">
        <v>58</v>
      </c>
      <c r="G7" s="30">
        <f>H7/6000</f>
        <v>35.706666666666663</v>
      </c>
      <c r="H7" s="18">
        <v>214240</v>
      </c>
      <c r="I7" s="18" t="str">
        <f t="shared" si="1"/>
        <v>Clean</v>
      </c>
      <c r="J7" s="18" t="b">
        <v>0</v>
      </c>
      <c r="K7" s="18" t="str">
        <f t="shared" si="2"/>
        <v>Moderate</v>
      </c>
      <c r="L7" s="18">
        <v>0.68799999999999994</v>
      </c>
      <c r="M7" s="18" t="str">
        <f t="shared" si="3"/>
        <v>Medium Energy</v>
      </c>
      <c r="N7" s="18">
        <v>0.48099999999999998</v>
      </c>
      <c r="O7" s="18">
        <v>6</v>
      </c>
      <c r="P7" s="18">
        <v>-8.8070000000000004</v>
      </c>
      <c r="Q7" s="18">
        <v>1</v>
      </c>
      <c r="R7" s="18">
        <v>0.105</v>
      </c>
      <c r="S7" s="18">
        <v>0.28899999999999998</v>
      </c>
      <c r="T7" s="18">
        <v>0</v>
      </c>
      <c r="U7" s="18">
        <v>0.189</v>
      </c>
      <c r="V7" s="18">
        <v>0.66600000000000004</v>
      </c>
      <c r="W7" s="18">
        <v>98.016999999999996</v>
      </c>
      <c r="X7" s="18">
        <v>4</v>
      </c>
      <c r="Y7" s="19" t="s">
        <v>4</v>
      </c>
    </row>
    <row r="8" spans="1:25" x14ac:dyDescent="0.3">
      <c r="A8" s="14" t="s">
        <v>24</v>
      </c>
      <c r="B8" s="15" t="s">
        <v>25</v>
      </c>
      <c r="C8" s="15" t="s">
        <v>26</v>
      </c>
      <c r="D8" s="15" t="s">
        <v>27</v>
      </c>
      <c r="E8" s="15" t="str">
        <f t="shared" si="0"/>
        <v>Popular</v>
      </c>
      <c r="F8" s="15">
        <v>74</v>
      </c>
      <c r="G8" s="30">
        <f>H8/6000</f>
        <v>38.233333333333334</v>
      </c>
      <c r="H8" s="15">
        <v>229400</v>
      </c>
      <c r="I8" s="15" t="str">
        <f t="shared" si="1"/>
        <v>Clean</v>
      </c>
      <c r="J8" s="15" t="b">
        <v>0</v>
      </c>
      <c r="K8" s="15" t="str">
        <f t="shared" si="2"/>
        <v>Moderate</v>
      </c>
      <c r="L8" s="15">
        <v>0.40699999999999997</v>
      </c>
      <c r="M8" s="15" t="str">
        <f t="shared" si="3"/>
        <v>Low Energy</v>
      </c>
      <c r="N8" s="15">
        <v>0.14699999999999999</v>
      </c>
      <c r="O8" s="15">
        <v>2</v>
      </c>
      <c r="P8" s="15">
        <v>-8.8219999999999992</v>
      </c>
      <c r="Q8" s="15">
        <v>1</v>
      </c>
      <c r="R8" s="15">
        <v>3.5499999999999997E-2</v>
      </c>
      <c r="S8" s="15">
        <v>0.85699999999999998</v>
      </c>
      <c r="T8" s="20" t="s">
        <v>28</v>
      </c>
      <c r="U8" s="15">
        <v>9.1300000000000006E-2</v>
      </c>
      <c r="V8" s="15">
        <v>7.6499999999999999E-2</v>
      </c>
      <c r="W8" s="15">
        <v>141.28399999999999</v>
      </c>
      <c r="X8" s="15">
        <v>3</v>
      </c>
      <c r="Y8" s="16" t="s">
        <v>4</v>
      </c>
    </row>
    <row r="9" spans="1:25" x14ac:dyDescent="0.3">
      <c r="A9" s="17" t="s">
        <v>29</v>
      </c>
      <c r="B9" s="18" t="s">
        <v>30</v>
      </c>
      <c r="C9" s="18" t="s">
        <v>31</v>
      </c>
      <c r="D9" s="18" t="s">
        <v>32</v>
      </c>
      <c r="E9" s="18" t="str">
        <f t="shared" si="0"/>
        <v>Hit</v>
      </c>
      <c r="F9" s="18">
        <v>80</v>
      </c>
      <c r="G9" s="30">
        <f>H9/6000</f>
        <v>40.491</v>
      </c>
      <c r="H9" s="18">
        <v>242946</v>
      </c>
      <c r="I9" s="18" t="str">
        <f t="shared" si="1"/>
        <v>Clean</v>
      </c>
      <c r="J9" s="18" t="b">
        <v>0</v>
      </c>
      <c r="K9" s="18" t="str">
        <f t="shared" si="2"/>
        <v>Very Danceable</v>
      </c>
      <c r="L9" s="18">
        <v>0.70299999999999996</v>
      </c>
      <c r="M9" s="18" t="str">
        <f t="shared" si="3"/>
        <v>Medium Energy</v>
      </c>
      <c r="N9" s="18">
        <v>0.44400000000000001</v>
      </c>
      <c r="O9" s="18">
        <v>11</v>
      </c>
      <c r="P9" s="18">
        <v>-9.3309999999999995</v>
      </c>
      <c r="Q9" s="18">
        <v>1</v>
      </c>
      <c r="R9" s="18">
        <v>4.1700000000000001E-2</v>
      </c>
      <c r="S9" s="18">
        <v>0.55900000000000005</v>
      </c>
      <c r="T9" s="18">
        <v>0</v>
      </c>
      <c r="U9" s="18">
        <v>9.7299999999999998E-2</v>
      </c>
      <c r="V9" s="18">
        <v>0.71199999999999997</v>
      </c>
      <c r="W9" s="18">
        <v>150.96</v>
      </c>
      <c r="X9" s="18">
        <v>4</v>
      </c>
      <c r="Y9" s="19" t="s">
        <v>4</v>
      </c>
    </row>
    <row r="10" spans="1:25" x14ac:dyDescent="0.3">
      <c r="A10" s="14" t="s">
        <v>33</v>
      </c>
      <c r="B10" s="15" t="s">
        <v>34</v>
      </c>
      <c r="C10" s="15" t="s">
        <v>31</v>
      </c>
      <c r="D10" s="15" t="s">
        <v>35</v>
      </c>
      <c r="E10" s="15" t="str">
        <f t="shared" si="0"/>
        <v>Popular</v>
      </c>
      <c r="F10" s="15">
        <v>74</v>
      </c>
      <c r="G10" s="30">
        <f>H10/6000</f>
        <v>31.602166666666665</v>
      </c>
      <c r="H10" s="15">
        <v>189613</v>
      </c>
      <c r="I10" s="15" t="str">
        <f t="shared" si="1"/>
        <v>Clean</v>
      </c>
      <c r="J10" s="15" t="b">
        <v>0</v>
      </c>
      <c r="K10" s="15" t="str">
        <f t="shared" si="2"/>
        <v>Moderate</v>
      </c>
      <c r="L10" s="15">
        <v>0.625</v>
      </c>
      <c r="M10" s="15" t="str">
        <f t="shared" si="3"/>
        <v>Medium Energy</v>
      </c>
      <c r="N10" s="15">
        <v>0.41399999999999998</v>
      </c>
      <c r="O10" s="15">
        <v>0</v>
      </c>
      <c r="P10" s="15">
        <v>-8.6999999999999993</v>
      </c>
      <c r="Q10" s="15">
        <v>1</v>
      </c>
      <c r="R10" s="15">
        <v>3.6900000000000002E-2</v>
      </c>
      <c r="S10" s="15">
        <v>0.29399999999999998</v>
      </c>
      <c r="T10" s="15">
        <v>0</v>
      </c>
      <c r="U10" s="15">
        <v>0.151</v>
      </c>
      <c r="V10" s="15">
        <v>0.66900000000000004</v>
      </c>
      <c r="W10" s="15">
        <v>130.08799999999999</v>
      </c>
      <c r="X10" s="15">
        <v>4</v>
      </c>
      <c r="Y10" s="16" t="s">
        <v>4</v>
      </c>
    </row>
    <row r="11" spans="1:25" x14ac:dyDescent="0.3">
      <c r="A11" s="17" t="s">
        <v>36</v>
      </c>
      <c r="B11" s="18" t="s">
        <v>37</v>
      </c>
      <c r="C11" s="18" t="s">
        <v>38</v>
      </c>
      <c r="D11" s="18" t="s">
        <v>38</v>
      </c>
      <c r="E11" s="18" t="str">
        <f t="shared" si="0"/>
        <v>Average</v>
      </c>
      <c r="F11" s="18">
        <v>56</v>
      </c>
      <c r="G11" s="30">
        <f>H11/6000</f>
        <v>34.265666666666668</v>
      </c>
      <c r="H11" s="18">
        <v>205594</v>
      </c>
      <c r="I11" s="18" t="str">
        <f t="shared" si="1"/>
        <v>Clean</v>
      </c>
      <c r="J11" s="18" t="b">
        <v>0</v>
      </c>
      <c r="K11" s="18" t="str">
        <f t="shared" si="2"/>
        <v>Moderate</v>
      </c>
      <c r="L11" s="18">
        <v>0.442</v>
      </c>
      <c r="M11" s="18" t="str">
        <f t="shared" si="3"/>
        <v>Medium Energy</v>
      </c>
      <c r="N11" s="18">
        <v>0.63200000000000001</v>
      </c>
      <c r="O11" s="18">
        <v>1</v>
      </c>
      <c r="P11" s="18">
        <v>-6.77</v>
      </c>
      <c r="Q11" s="18">
        <v>1</v>
      </c>
      <c r="R11" s="18">
        <v>2.9499999999999998E-2</v>
      </c>
      <c r="S11" s="18">
        <v>0.42599999999999999</v>
      </c>
      <c r="T11" s="18">
        <v>4.1900000000000001E-3</v>
      </c>
      <c r="U11" s="18">
        <v>7.3499999999999996E-2</v>
      </c>
      <c r="V11" s="18">
        <v>0.19600000000000001</v>
      </c>
      <c r="W11" s="18">
        <v>78.899000000000001</v>
      </c>
      <c r="X11" s="18">
        <v>4</v>
      </c>
      <c r="Y11" s="19" t="s">
        <v>4</v>
      </c>
    </row>
    <row r="12" spans="1:25" x14ac:dyDescent="0.3">
      <c r="A12" s="14" t="s">
        <v>39</v>
      </c>
      <c r="B12" s="15" t="s">
        <v>40</v>
      </c>
      <c r="C12" s="15" t="s">
        <v>41</v>
      </c>
      <c r="D12" s="15" t="s">
        <v>42</v>
      </c>
      <c r="E12" s="15" t="str">
        <f t="shared" si="0"/>
        <v>Popular</v>
      </c>
      <c r="F12" s="15">
        <v>74</v>
      </c>
      <c r="G12" s="30">
        <f>H12/6000</f>
        <v>40.799999999999997</v>
      </c>
      <c r="H12" s="15">
        <v>244800</v>
      </c>
      <c r="I12" s="15" t="str">
        <f t="shared" si="1"/>
        <v>Clean</v>
      </c>
      <c r="J12" s="15" t="b">
        <v>0</v>
      </c>
      <c r="K12" s="15" t="str">
        <f t="shared" si="2"/>
        <v>Moderate</v>
      </c>
      <c r="L12" s="15">
        <v>0.627</v>
      </c>
      <c r="M12" s="15" t="str">
        <f t="shared" si="3"/>
        <v>Low Energy</v>
      </c>
      <c r="N12" s="15">
        <v>0.36299999999999999</v>
      </c>
      <c r="O12" s="15">
        <v>8</v>
      </c>
      <c r="P12" s="15">
        <v>-8.1270000000000007</v>
      </c>
      <c r="Q12" s="15">
        <v>1</v>
      </c>
      <c r="R12" s="15">
        <v>2.9100000000000001E-2</v>
      </c>
      <c r="S12" s="15">
        <v>0.27900000000000003</v>
      </c>
      <c r="T12" s="15">
        <v>0</v>
      </c>
      <c r="U12" s="15">
        <v>9.2799999999999994E-2</v>
      </c>
      <c r="V12" s="15">
        <v>0.30099999999999999</v>
      </c>
      <c r="W12" s="15">
        <v>99.905000000000001</v>
      </c>
      <c r="X12" s="15">
        <v>4</v>
      </c>
      <c r="Y12" s="16" t="s">
        <v>4</v>
      </c>
    </row>
    <row r="13" spans="1:25" x14ac:dyDescent="0.3">
      <c r="A13" s="17" t="s">
        <v>43</v>
      </c>
      <c r="B13" s="18" t="s">
        <v>30</v>
      </c>
      <c r="C13" s="18" t="s">
        <v>44</v>
      </c>
      <c r="D13" s="18" t="s">
        <v>45</v>
      </c>
      <c r="E13" s="18" t="str">
        <f t="shared" si="0"/>
        <v>Popular</v>
      </c>
      <c r="F13" s="18">
        <v>69</v>
      </c>
      <c r="G13" s="30">
        <f>H13/6000</f>
        <v>40.027500000000003</v>
      </c>
      <c r="H13" s="18">
        <v>240165</v>
      </c>
      <c r="I13" s="18" t="str">
        <f t="shared" si="1"/>
        <v>Clean</v>
      </c>
      <c r="J13" s="18" t="b">
        <v>0</v>
      </c>
      <c r="K13" s="18" t="str">
        <f t="shared" si="2"/>
        <v>Moderate</v>
      </c>
      <c r="L13" s="18">
        <v>0.48299999999999998</v>
      </c>
      <c r="M13" s="18" t="str">
        <f t="shared" si="3"/>
        <v>Low Energy</v>
      </c>
      <c r="N13" s="18">
        <v>0.30299999999999999</v>
      </c>
      <c r="O13" s="18">
        <v>4</v>
      </c>
      <c r="P13" s="18">
        <v>-10.058</v>
      </c>
      <c r="Q13" s="18">
        <v>1</v>
      </c>
      <c r="R13" s="18">
        <v>4.2900000000000001E-2</v>
      </c>
      <c r="S13" s="18">
        <v>0.69399999999999995</v>
      </c>
      <c r="T13" s="18">
        <v>0</v>
      </c>
      <c r="U13" s="18">
        <v>0.115</v>
      </c>
      <c r="V13" s="18">
        <v>0.13900000000000001</v>
      </c>
      <c r="W13" s="18">
        <v>133.40600000000001</v>
      </c>
      <c r="X13" s="18">
        <v>3</v>
      </c>
      <c r="Y13" s="19" t="s">
        <v>4</v>
      </c>
    </row>
    <row r="14" spans="1:25" x14ac:dyDescent="0.3">
      <c r="A14" s="14" t="s">
        <v>46</v>
      </c>
      <c r="B14" s="15" t="s">
        <v>47</v>
      </c>
      <c r="C14" s="15" t="s">
        <v>48</v>
      </c>
      <c r="D14" s="15" t="s">
        <v>48</v>
      </c>
      <c r="E14" s="15" t="str">
        <f t="shared" si="0"/>
        <v>Average</v>
      </c>
      <c r="F14" s="15">
        <v>52</v>
      </c>
      <c r="G14" s="30">
        <f>H14/6000</f>
        <v>33.11866666666667</v>
      </c>
      <c r="H14" s="15">
        <v>198712</v>
      </c>
      <c r="I14" s="15" t="str">
        <f t="shared" si="1"/>
        <v>Clean</v>
      </c>
      <c r="J14" s="15" t="b">
        <v>0</v>
      </c>
      <c r="K14" s="15" t="str">
        <f t="shared" si="2"/>
        <v>Moderate</v>
      </c>
      <c r="L14" s="15">
        <v>0.48899999999999999</v>
      </c>
      <c r="M14" s="15" t="str">
        <f t="shared" si="3"/>
        <v>Low Energy</v>
      </c>
      <c r="N14" s="15">
        <v>0.314</v>
      </c>
      <c r="O14" s="15">
        <v>7</v>
      </c>
      <c r="P14" s="15">
        <v>-9.2449999999999992</v>
      </c>
      <c r="Q14" s="15">
        <v>0</v>
      </c>
      <c r="R14" s="15">
        <v>3.3099999999999997E-2</v>
      </c>
      <c r="S14" s="15">
        <v>0.749</v>
      </c>
      <c r="T14" s="15">
        <v>0</v>
      </c>
      <c r="U14" s="15">
        <v>0.113</v>
      </c>
      <c r="V14" s="15">
        <v>0.60699999999999998</v>
      </c>
      <c r="W14" s="15">
        <v>124.23399999999999</v>
      </c>
      <c r="X14" s="15">
        <v>4</v>
      </c>
      <c r="Y14" s="16" t="s">
        <v>4</v>
      </c>
    </row>
    <row r="15" spans="1:25" x14ac:dyDescent="0.3">
      <c r="A15" s="17" t="s">
        <v>49</v>
      </c>
      <c r="B15" s="18" t="s">
        <v>50</v>
      </c>
      <c r="C15" s="18" t="s">
        <v>51</v>
      </c>
      <c r="D15" s="18" t="s">
        <v>51</v>
      </c>
      <c r="E15" s="18" t="str">
        <f t="shared" si="0"/>
        <v>Popular</v>
      </c>
      <c r="F15" s="18">
        <v>62</v>
      </c>
      <c r="G15" s="30">
        <f>H15/6000</f>
        <v>41.408000000000001</v>
      </c>
      <c r="H15" s="18">
        <v>248448</v>
      </c>
      <c r="I15" s="18" t="str">
        <f t="shared" si="1"/>
        <v>Clean</v>
      </c>
      <c r="J15" s="18" t="b">
        <v>0</v>
      </c>
      <c r="K15" s="18" t="str">
        <f t="shared" si="2"/>
        <v>Moderate</v>
      </c>
      <c r="L15" s="18">
        <v>0.69099999999999995</v>
      </c>
      <c r="M15" s="18" t="str">
        <f t="shared" si="3"/>
        <v>Low Energy</v>
      </c>
      <c r="N15" s="18">
        <v>0.23400000000000001</v>
      </c>
      <c r="O15" s="18">
        <v>3</v>
      </c>
      <c r="P15" s="18">
        <v>-6.4409999999999998</v>
      </c>
      <c r="Q15" s="18">
        <v>1</v>
      </c>
      <c r="R15" s="18">
        <v>2.8500000000000001E-2</v>
      </c>
      <c r="S15" s="18">
        <v>0.77700000000000002</v>
      </c>
      <c r="T15" s="18">
        <v>0</v>
      </c>
      <c r="U15" s="18">
        <v>0.12</v>
      </c>
      <c r="V15" s="18">
        <v>0.20899999999999999</v>
      </c>
      <c r="W15" s="18">
        <v>87.102999999999994</v>
      </c>
      <c r="X15" s="18">
        <v>4</v>
      </c>
      <c r="Y15" s="19" t="s">
        <v>4</v>
      </c>
    </row>
    <row r="16" spans="1:25" ht="19.2" customHeight="1" x14ac:dyDescent="0.3">
      <c r="A16" s="14" t="s">
        <v>52</v>
      </c>
      <c r="B16" s="15" t="s">
        <v>53</v>
      </c>
      <c r="C16" s="15" t="s">
        <v>54</v>
      </c>
      <c r="D16" s="15" t="s">
        <v>55</v>
      </c>
      <c r="E16" s="15" t="str">
        <f t="shared" si="0"/>
        <v>Average</v>
      </c>
      <c r="F16" s="15">
        <v>56</v>
      </c>
      <c r="G16" s="30">
        <f>H16/6000</f>
        <v>31.355499999999999</v>
      </c>
      <c r="H16" s="15">
        <v>188133</v>
      </c>
      <c r="I16" s="15" t="str">
        <f t="shared" si="1"/>
        <v>Clean</v>
      </c>
      <c r="J16" s="15" t="b">
        <v>0</v>
      </c>
      <c r="K16" s="15" t="str">
        <f t="shared" si="2"/>
        <v>Very Danceable</v>
      </c>
      <c r="L16" s="15">
        <v>0.755</v>
      </c>
      <c r="M16" s="15" t="str">
        <f t="shared" si="3"/>
        <v>High Energy</v>
      </c>
      <c r="N16" s="15">
        <v>0.78</v>
      </c>
      <c r="O16" s="15">
        <v>2</v>
      </c>
      <c r="P16" s="15">
        <v>-6.0839999999999996</v>
      </c>
      <c r="Q16" s="15">
        <v>1</v>
      </c>
      <c r="R16" s="15">
        <v>3.27E-2</v>
      </c>
      <c r="S16" s="15">
        <v>0.124</v>
      </c>
      <c r="T16" s="20" t="s">
        <v>56</v>
      </c>
      <c r="U16" s="15">
        <v>0.121</v>
      </c>
      <c r="V16" s="15">
        <v>0.38700000000000001</v>
      </c>
      <c r="W16" s="15">
        <v>120.004</v>
      </c>
      <c r="X16" s="15">
        <v>4</v>
      </c>
      <c r="Y16" s="16" t="s">
        <v>4</v>
      </c>
    </row>
    <row r="17" spans="1:28" ht="15.6" customHeight="1" x14ac:dyDescent="0.3">
      <c r="A17" s="17" t="s">
        <v>57</v>
      </c>
      <c r="B17" s="18" t="s">
        <v>58</v>
      </c>
      <c r="C17" s="18" t="s">
        <v>59</v>
      </c>
      <c r="D17" s="18" t="s">
        <v>60</v>
      </c>
      <c r="E17" s="18" t="str">
        <f t="shared" si="0"/>
        <v>Average</v>
      </c>
      <c r="F17" s="18">
        <v>58</v>
      </c>
      <c r="G17" s="30">
        <f>H17/6000</f>
        <v>40.831000000000003</v>
      </c>
      <c r="H17" s="18">
        <v>244986</v>
      </c>
      <c r="I17" s="18" t="str">
        <f t="shared" si="1"/>
        <v>Clean</v>
      </c>
      <c r="J17" s="18" t="b">
        <v>0</v>
      </c>
      <c r="K17" s="18" t="str">
        <f t="shared" si="2"/>
        <v>Moderate</v>
      </c>
      <c r="L17" s="18">
        <v>0.48899999999999999</v>
      </c>
      <c r="M17" s="18" t="str">
        <f t="shared" si="3"/>
        <v>Medium Energy</v>
      </c>
      <c r="N17" s="18">
        <v>0.56100000000000005</v>
      </c>
      <c r="O17" s="18">
        <v>4</v>
      </c>
      <c r="P17" s="18">
        <v>-7.9329999999999998</v>
      </c>
      <c r="Q17" s="18">
        <v>1</v>
      </c>
      <c r="R17" s="18">
        <v>2.7400000000000001E-2</v>
      </c>
      <c r="S17" s="18">
        <v>0.2</v>
      </c>
      <c r="T17" s="21" t="s">
        <v>61</v>
      </c>
      <c r="U17" s="18">
        <v>0.17899999999999999</v>
      </c>
      <c r="V17" s="18">
        <v>0.23799999999999999</v>
      </c>
      <c r="W17" s="18">
        <v>83.456999999999994</v>
      </c>
      <c r="X17" s="18">
        <v>3</v>
      </c>
      <c r="Y17" s="19" t="s">
        <v>4</v>
      </c>
      <c r="AA17" s="27" t="s">
        <v>1542</v>
      </c>
      <c r="AB17" s="27" t="s">
        <v>1543</v>
      </c>
    </row>
    <row r="18" spans="1:28" x14ac:dyDescent="0.3">
      <c r="A18" s="14" t="s">
        <v>62</v>
      </c>
      <c r="B18" s="15" t="s">
        <v>63</v>
      </c>
      <c r="C18" s="15" t="s">
        <v>64</v>
      </c>
      <c r="D18" s="15" t="s">
        <v>64</v>
      </c>
      <c r="E18" s="15" t="str">
        <f t="shared" si="0"/>
        <v>Average</v>
      </c>
      <c r="F18" s="15">
        <v>56</v>
      </c>
      <c r="G18" s="30">
        <f>H18/6000</f>
        <v>21.625</v>
      </c>
      <c r="H18" s="15">
        <v>129750</v>
      </c>
      <c r="I18" s="15" t="str">
        <f t="shared" si="1"/>
        <v>Clean</v>
      </c>
      <c r="J18" s="15" t="b">
        <v>0</v>
      </c>
      <c r="K18" s="15" t="str">
        <f t="shared" si="2"/>
        <v>Very Danceable</v>
      </c>
      <c r="L18" s="15">
        <v>0.70599999999999996</v>
      </c>
      <c r="M18" s="15" t="str">
        <f t="shared" si="3"/>
        <v>Low Energy</v>
      </c>
      <c r="N18" s="15">
        <v>0.112</v>
      </c>
      <c r="O18" s="15">
        <v>2</v>
      </c>
      <c r="P18" s="15">
        <v>-18.097999999999999</v>
      </c>
      <c r="Q18" s="15">
        <v>1</v>
      </c>
      <c r="R18" s="15">
        <v>3.9100000000000003E-2</v>
      </c>
      <c r="S18" s="15">
        <v>0.82699999999999996</v>
      </c>
      <c r="T18" s="20" t="s">
        <v>65</v>
      </c>
      <c r="U18" s="15">
        <v>0.125</v>
      </c>
      <c r="V18" s="15">
        <v>0.41399999999999998</v>
      </c>
      <c r="W18" s="15">
        <v>110.154</v>
      </c>
      <c r="X18" s="15">
        <v>4</v>
      </c>
      <c r="Y18" s="16" t="s">
        <v>4</v>
      </c>
      <c r="AA18" s="28" t="s">
        <v>1523</v>
      </c>
      <c r="AB18" s="28">
        <f>COUNTBLANK(B1:B500)</f>
        <v>0</v>
      </c>
    </row>
    <row r="19" spans="1:28" x14ac:dyDescent="0.3">
      <c r="A19" s="17" t="s">
        <v>66</v>
      </c>
      <c r="B19" s="18" t="s">
        <v>63</v>
      </c>
      <c r="C19" s="18" t="s">
        <v>67</v>
      </c>
      <c r="D19" s="18" t="s">
        <v>67</v>
      </c>
      <c r="E19" s="18" t="str">
        <f t="shared" si="0"/>
        <v>Average</v>
      </c>
      <c r="F19" s="18">
        <v>54</v>
      </c>
      <c r="G19" s="30">
        <f>H19/6000</f>
        <v>28.288</v>
      </c>
      <c r="H19" s="18">
        <v>169728</v>
      </c>
      <c r="I19" s="18" t="str">
        <f t="shared" si="1"/>
        <v>Clean</v>
      </c>
      <c r="J19" s="18" t="b">
        <v>0</v>
      </c>
      <c r="K19" s="18" t="str">
        <f t="shared" si="2"/>
        <v>Very Danceable</v>
      </c>
      <c r="L19" s="18">
        <v>0.79500000000000004</v>
      </c>
      <c r="M19" s="18" t="str">
        <f t="shared" si="3"/>
        <v>Low Energy</v>
      </c>
      <c r="N19" s="18">
        <v>8.4099999999999994E-2</v>
      </c>
      <c r="O19" s="18">
        <v>10</v>
      </c>
      <c r="P19" s="18">
        <v>-18.09</v>
      </c>
      <c r="Q19" s="18">
        <v>0</v>
      </c>
      <c r="R19" s="18">
        <v>4.6100000000000002E-2</v>
      </c>
      <c r="S19" s="18">
        <v>0.74199999999999999</v>
      </c>
      <c r="T19" s="21" t="s">
        <v>68</v>
      </c>
      <c r="U19" s="18">
        <v>8.5300000000000001E-2</v>
      </c>
      <c r="V19" s="18">
        <v>0.60899999999999999</v>
      </c>
      <c r="W19" s="18">
        <v>91.802999999999997</v>
      </c>
      <c r="X19" s="18">
        <v>4</v>
      </c>
      <c r="Y19" s="19" t="s">
        <v>4</v>
      </c>
      <c r="AA19" s="28" t="s">
        <v>1524</v>
      </c>
      <c r="AB19" s="28">
        <f>COUNTBLANK(C2:C500)</f>
        <v>0</v>
      </c>
    </row>
    <row r="20" spans="1:28" x14ac:dyDescent="0.3">
      <c r="A20" s="14" t="s">
        <v>69</v>
      </c>
      <c r="B20" s="15" t="s">
        <v>34</v>
      </c>
      <c r="C20" s="15" t="s">
        <v>31</v>
      </c>
      <c r="D20" s="15" t="s">
        <v>35</v>
      </c>
      <c r="E20" s="15" t="str">
        <f t="shared" si="0"/>
        <v>Popular</v>
      </c>
      <c r="F20" s="15">
        <v>68</v>
      </c>
      <c r="G20" s="30">
        <f>H20/6000</f>
        <v>31.602166666666665</v>
      </c>
      <c r="H20" s="15">
        <v>189613</v>
      </c>
      <c r="I20" s="15" t="str">
        <f t="shared" si="1"/>
        <v>Clean</v>
      </c>
      <c r="J20" s="15" t="b">
        <v>0</v>
      </c>
      <c r="K20" s="15" t="str">
        <f t="shared" si="2"/>
        <v>Moderate</v>
      </c>
      <c r="L20" s="15">
        <v>0.625</v>
      </c>
      <c r="M20" s="15" t="str">
        <f t="shared" si="3"/>
        <v>Medium Energy</v>
      </c>
      <c r="N20" s="15">
        <v>0.41399999999999998</v>
      </c>
      <c r="O20" s="15">
        <v>0</v>
      </c>
      <c r="P20" s="15">
        <v>-8.6999999999999993</v>
      </c>
      <c r="Q20" s="15">
        <v>1</v>
      </c>
      <c r="R20" s="15">
        <v>3.6900000000000002E-2</v>
      </c>
      <c r="S20" s="15">
        <v>0.29399999999999998</v>
      </c>
      <c r="T20" s="15">
        <v>0</v>
      </c>
      <c r="U20" s="15">
        <v>0.151</v>
      </c>
      <c r="V20" s="15">
        <v>0.66900000000000004</v>
      </c>
      <c r="W20" s="15">
        <v>130.08799999999999</v>
      </c>
      <c r="X20" s="15">
        <v>4</v>
      </c>
      <c r="Y20" s="16" t="s">
        <v>4</v>
      </c>
      <c r="AA20" s="29" t="s">
        <v>1525</v>
      </c>
      <c r="AB20" s="28">
        <f>COUNTBLANK(D3:D500)</f>
        <v>0</v>
      </c>
    </row>
    <row r="21" spans="1:28" x14ac:dyDescent="0.3">
      <c r="A21" s="17" t="s">
        <v>70</v>
      </c>
      <c r="B21" s="18" t="s">
        <v>71</v>
      </c>
      <c r="C21" s="18" t="s">
        <v>72</v>
      </c>
      <c r="D21" s="18" t="s">
        <v>73</v>
      </c>
      <c r="E21" s="18" t="str">
        <f t="shared" si="0"/>
        <v>Popular</v>
      </c>
      <c r="F21" s="18">
        <v>67</v>
      </c>
      <c r="G21" s="30">
        <f>H21/6000</f>
        <v>43.364333333333335</v>
      </c>
      <c r="H21" s="18">
        <v>260186</v>
      </c>
      <c r="I21" s="18" t="str">
        <f t="shared" si="1"/>
        <v>Clean</v>
      </c>
      <c r="J21" s="18" t="b">
        <v>0</v>
      </c>
      <c r="K21" s="18" t="str">
        <f t="shared" si="2"/>
        <v>Very Danceable</v>
      </c>
      <c r="L21" s="18">
        <v>0.71699999999999997</v>
      </c>
      <c r="M21" s="18" t="str">
        <f t="shared" si="3"/>
        <v>Low Energy</v>
      </c>
      <c r="N21" s="18">
        <v>0.32</v>
      </c>
      <c r="O21" s="18">
        <v>3</v>
      </c>
      <c r="P21" s="18">
        <v>-8.3930000000000007</v>
      </c>
      <c r="Q21" s="18">
        <v>1</v>
      </c>
      <c r="R21" s="18">
        <v>2.8299999999999999E-2</v>
      </c>
      <c r="S21" s="18">
        <v>0.83</v>
      </c>
      <c r="T21" s="18">
        <v>0</v>
      </c>
      <c r="U21" s="18">
        <v>0.107</v>
      </c>
      <c r="V21" s="18">
        <v>0.32200000000000001</v>
      </c>
      <c r="W21" s="18">
        <v>107.946</v>
      </c>
      <c r="X21" s="18">
        <v>4</v>
      </c>
      <c r="Y21" s="19" t="s">
        <v>4</v>
      </c>
      <c r="AA21" s="29" t="s">
        <v>1526</v>
      </c>
      <c r="AB21" s="28">
        <f>COUNTBLANK(F4:F500)</f>
        <v>0</v>
      </c>
    </row>
    <row r="22" spans="1:28" x14ac:dyDescent="0.3">
      <c r="A22" s="14" t="s">
        <v>74</v>
      </c>
      <c r="B22" s="15" t="s">
        <v>30</v>
      </c>
      <c r="C22" s="15" t="s">
        <v>31</v>
      </c>
      <c r="D22" s="15" t="s">
        <v>32</v>
      </c>
      <c r="E22" s="15" t="str">
        <f t="shared" si="0"/>
        <v>Popular</v>
      </c>
      <c r="F22" s="15">
        <v>75</v>
      </c>
      <c r="G22" s="30">
        <f>H22/6000</f>
        <v>40.491</v>
      </c>
      <c r="H22" s="15">
        <v>242946</v>
      </c>
      <c r="I22" s="15" t="str">
        <f t="shared" si="1"/>
        <v>Clean</v>
      </c>
      <c r="J22" s="15" t="b">
        <v>0</v>
      </c>
      <c r="K22" s="15" t="str">
        <f t="shared" si="2"/>
        <v>Very Danceable</v>
      </c>
      <c r="L22" s="15">
        <v>0.70299999999999996</v>
      </c>
      <c r="M22" s="15" t="str">
        <f t="shared" si="3"/>
        <v>Medium Energy</v>
      </c>
      <c r="N22" s="15">
        <v>0.44400000000000001</v>
      </c>
      <c r="O22" s="15">
        <v>11</v>
      </c>
      <c r="P22" s="15">
        <v>-9.3309999999999995</v>
      </c>
      <c r="Q22" s="15">
        <v>1</v>
      </c>
      <c r="R22" s="15">
        <v>4.1700000000000001E-2</v>
      </c>
      <c r="S22" s="15">
        <v>0.55900000000000005</v>
      </c>
      <c r="T22" s="15">
        <v>0</v>
      </c>
      <c r="U22" s="15">
        <v>9.7299999999999998E-2</v>
      </c>
      <c r="V22" s="15">
        <v>0.71199999999999997</v>
      </c>
      <c r="W22" s="15">
        <v>150.96</v>
      </c>
      <c r="X22" s="15">
        <v>4</v>
      </c>
      <c r="Y22" s="16" t="s">
        <v>4</v>
      </c>
      <c r="AA22" s="29" t="s">
        <v>1527</v>
      </c>
      <c r="AB22" s="28">
        <f>COUNTBLANK(H5:H500)</f>
        <v>0</v>
      </c>
    </row>
    <row r="23" spans="1:28" x14ac:dyDescent="0.3">
      <c r="A23" s="17" t="s">
        <v>75</v>
      </c>
      <c r="B23" s="18" t="s">
        <v>76</v>
      </c>
      <c r="C23" s="18" t="s">
        <v>77</v>
      </c>
      <c r="D23" s="18" t="s">
        <v>78</v>
      </c>
      <c r="E23" s="18" t="str">
        <f t="shared" si="0"/>
        <v>Popular</v>
      </c>
      <c r="F23" s="18">
        <v>63</v>
      </c>
      <c r="G23" s="30">
        <f>H23/6000</f>
        <v>29.029</v>
      </c>
      <c r="H23" s="18">
        <v>174174</v>
      </c>
      <c r="I23" s="18" t="str">
        <f t="shared" si="1"/>
        <v>Clean</v>
      </c>
      <c r="J23" s="18" t="b">
        <v>0</v>
      </c>
      <c r="K23" s="18" t="str">
        <f t="shared" si="2"/>
        <v>Moderate</v>
      </c>
      <c r="L23" s="18">
        <v>0.67800000000000005</v>
      </c>
      <c r="M23" s="18" t="str">
        <f t="shared" si="3"/>
        <v>Low Energy</v>
      </c>
      <c r="N23" s="18">
        <v>0.35099999999999998</v>
      </c>
      <c r="O23" s="18">
        <v>0</v>
      </c>
      <c r="P23" s="18">
        <v>-8.6539999999999999</v>
      </c>
      <c r="Q23" s="18">
        <v>1</v>
      </c>
      <c r="R23" s="18">
        <v>2.6599999999999999E-2</v>
      </c>
      <c r="S23" s="18">
        <v>0.747</v>
      </c>
      <c r="T23" s="18">
        <v>0</v>
      </c>
      <c r="U23" s="18">
        <v>0.35499999999999998</v>
      </c>
      <c r="V23" s="18">
        <v>0.56899999999999995</v>
      </c>
      <c r="W23" s="18">
        <v>90.031999999999996</v>
      </c>
      <c r="X23" s="18">
        <v>4</v>
      </c>
      <c r="Y23" s="19" t="s">
        <v>4</v>
      </c>
      <c r="AA23" s="29" t="s">
        <v>1541</v>
      </c>
      <c r="AB23" s="28">
        <f>COUNTBLANK(Y2:Y500)</f>
        <v>0</v>
      </c>
    </row>
    <row r="24" spans="1:28" x14ac:dyDescent="0.3">
      <c r="A24" s="14" t="s">
        <v>79</v>
      </c>
      <c r="B24" s="15" t="s">
        <v>25</v>
      </c>
      <c r="C24" s="15" t="s">
        <v>80</v>
      </c>
      <c r="D24" s="15" t="s">
        <v>27</v>
      </c>
      <c r="E24" s="15" t="str">
        <f t="shared" si="0"/>
        <v>Popular</v>
      </c>
      <c r="F24" s="15">
        <v>70</v>
      </c>
      <c r="G24" s="30">
        <f>H24/6000</f>
        <v>38.233333333333334</v>
      </c>
      <c r="H24" s="15">
        <v>229400</v>
      </c>
      <c r="I24" s="15" t="str">
        <f t="shared" si="1"/>
        <v>Clean</v>
      </c>
      <c r="J24" s="15" t="b">
        <v>0</v>
      </c>
      <c r="K24" s="15" t="str">
        <f t="shared" si="2"/>
        <v>Moderate</v>
      </c>
      <c r="L24" s="15">
        <v>0.40699999999999997</v>
      </c>
      <c r="M24" s="15" t="str">
        <f t="shared" si="3"/>
        <v>Low Energy</v>
      </c>
      <c r="N24" s="15">
        <v>0.14699999999999999</v>
      </c>
      <c r="O24" s="15">
        <v>2</v>
      </c>
      <c r="P24" s="15">
        <v>-8.8219999999999992</v>
      </c>
      <c r="Q24" s="15">
        <v>1</v>
      </c>
      <c r="R24" s="15">
        <v>3.5499999999999997E-2</v>
      </c>
      <c r="S24" s="15">
        <v>0.85699999999999998</v>
      </c>
      <c r="T24" s="20" t="s">
        <v>28</v>
      </c>
      <c r="U24" s="15">
        <v>9.1300000000000006E-2</v>
      </c>
      <c r="V24" s="15">
        <v>7.6499999999999999E-2</v>
      </c>
      <c r="W24" s="15">
        <v>141.28399999999999</v>
      </c>
      <c r="X24" s="15">
        <v>3</v>
      </c>
      <c r="Y24" s="16" t="s">
        <v>4</v>
      </c>
    </row>
    <row r="25" spans="1:28" x14ac:dyDescent="0.3">
      <c r="A25" s="17" t="s">
        <v>81</v>
      </c>
      <c r="B25" s="18" t="s">
        <v>30</v>
      </c>
      <c r="C25" s="18" t="s">
        <v>82</v>
      </c>
      <c r="D25" s="18" t="s">
        <v>83</v>
      </c>
      <c r="E25" s="18" t="str">
        <f t="shared" si="0"/>
        <v>Low</v>
      </c>
      <c r="F25" s="18">
        <v>0</v>
      </c>
      <c r="G25" s="30">
        <f>H25/6000</f>
        <v>36.06433333333333</v>
      </c>
      <c r="H25" s="18">
        <v>216386</v>
      </c>
      <c r="I25" s="18" t="str">
        <f t="shared" si="1"/>
        <v>Clean</v>
      </c>
      <c r="J25" s="18" t="b">
        <v>0</v>
      </c>
      <c r="K25" s="18" t="str">
        <f t="shared" si="2"/>
        <v>Moderate</v>
      </c>
      <c r="L25" s="18">
        <v>0.57199999999999995</v>
      </c>
      <c r="M25" s="18" t="str">
        <f t="shared" si="3"/>
        <v>Medium Energy</v>
      </c>
      <c r="N25" s="18">
        <v>0.45400000000000001</v>
      </c>
      <c r="O25" s="18">
        <v>3</v>
      </c>
      <c r="P25" s="18">
        <v>-10.286</v>
      </c>
      <c r="Q25" s="18">
        <v>1</v>
      </c>
      <c r="R25" s="18">
        <v>2.58E-2</v>
      </c>
      <c r="S25" s="18">
        <v>0.47699999999999998</v>
      </c>
      <c r="T25" s="21" t="s">
        <v>84</v>
      </c>
      <c r="U25" s="18">
        <v>9.74E-2</v>
      </c>
      <c r="V25" s="18">
        <v>0.51500000000000001</v>
      </c>
      <c r="W25" s="18">
        <v>140.18199999999999</v>
      </c>
      <c r="X25" s="18">
        <v>4</v>
      </c>
      <c r="Y25" s="19" t="s">
        <v>4</v>
      </c>
    </row>
    <row r="26" spans="1:28" x14ac:dyDescent="0.3">
      <c r="A26" s="14" t="s">
        <v>85</v>
      </c>
      <c r="B26" s="15" t="s">
        <v>30</v>
      </c>
      <c r="C26" s="15" t="s">
        <v>86</v>
      </c>
      <c r="D26" s="15" t="s">
        <v>87</v>
      </c>
      <c r="E26" s="15" t="str">
        <f t="shared" si="0"/>
        <v>Low</v>
      </c>
      <c r="F26" s="15">
        <v>0</v>
      </c>
      <c r="G26" s="30">
        <f>H26/6000</f>
        <v>38.544333333333334</v>
      </c>
      <c r="H26" s="15">
        <v>231266</v>
      </c>
      <c r="I26" s="15" t="str">
        <f t="shared" si="1"/>
        <v>Clean</v>
      </c>
      <c r="J26" s="15" t="b">
        <v>0</v>
      </c>
      <c r="K26" s="15" t="str">
        <f t="shared" si="2"/>
        <v>Very Danceable</v>
      </c>
      <c r="L26" s="15">
        <v>0.79600000000000004</v>
      </c>
      <c r="M26" s="15" t="str">
        <f t="shared" si="3"/>
        <v>Medium Energy</v>
      </c>
      <c r="N26" s="15">
        <v>0.66700000000000004</v>
      </c>
      <c r="O26" s="15">
        <v>5</v>
      </c>
      <c r="P26" s="15">
        <v>-4.8310000000000004</v>
      </c>
      <c r="Q26" s="15">
        <v>0</v>
      </c>
      <c r="R26" s="15">
        <v>3.9199999999999999E-2</v>
      </c>
      <c r="S26" s="15">
        <v>0.38100000000000001</v>
      </c>
      <c r="T26" s="15">
        <v>0</v>
      </c>
      <c r="U26" s="15">
        <v>0.221</v>
      </c>
      <c r="V26" s="15">
        <v>0.754</v>
      </c>
      <c r="W26" s="15">
        <v>97.988</v>
      </c>
      <c r="X26" s="15">
        <v>4</v>
      </c>
      <c r="Y26" s="16" t="s">
        <v>4</v>
      </c>
    </row>
    <row r="27" spans="1:28" x14ac:dyDescent="0.3">
      <c r="A27" s="17" t="s">
        <v>88</v>
      </c>
      <c r="B27" s="18" t="s">
        <v>30</v>
      </c>
      <c r="C27" s="18" t="s">
        <v>89</v>
      </c>
      <c r="D27" s="18" t="s">
        <v>90</v>
      </c>
      <c r="E27" s="18" t="str">
        <f t="shared" si="0"/>
        <v>Low</v>
      </c>
      <c r="F27" s="18">
        <v>1</v>
      </c>
      <c r="G27" s="30">
        <f>H27/6000</f>
        <v>50.390999999999998</v>
      </c>
      <c r="H27" s="18">
        <v>302346</v>
      </c>
      <c r="I27" s="18" t="str">
        <f t="shared" si="1"/>
        <v>Clean</v>
      </c>
      <c r="J27" s="18" t="b">
        <v>0</v>
      </c>
      <c r="K27" s="18" t="str">
        <f t="shared" si="2"/>
        <v>Very Danceable</v>
      </c>
      <c r="L27" s="18">
        <v>0.755</v>
      </c>
      <c r="M27" s="18" t="str">
        <f t="shared" si="3"/>
        <v>Medium Energy</v>
      </c>
      <c r="N27" s="18">
        <v>0.45400000000000001</v>
      </c>
      <c r="O27" s="18">
        <v>9</v>
      </c>
      <c r="P27" s="18">
        <v>-9.609</v>
      </c>
      <c r="Q27" s="18">
        <v>0</v>
      </c>
      <c r="R27" s="18">
        <v>3.5200000000000002E-2</v>
      </c>
      <c r="S27" s="18">
        <v>0.75700000000000001</v>
      </c>
      <c r="T27" s="18">
        <v>0</v>
      </c>
      <c r="U27" s="18">
        <v>0.23599999999999999</v>
      </c>
      <c r="V27" s="18">
        <v>0.33</v>
      </c>
      <c r="W27" s="18">
        <v>120.06</v>
      </c>
      <c r="X27" s="18">
        <v>4</v>
      </c>
      <c r="Y27" s="19" t="s">
        <v>4</v>
      </c>
    </row>
    <row r="28" spans="1:28" x14ac:dyDescent="0.3">
      <c r="A28" s="14" t="s">
        <v>91</v>
      </c>
      <c r="B28" s="15" t="s">
        <v>30</v>
      </c>
      <c r="C28" s="15" t="s">
        <v>92</v>
      </c>
      <c r="D28" s="15" t="s">
        <v>93</v>
      </c>
      <c r="E28" s="15" t="str">
        <f t="shared" si="0"/>
        <v>Low</v>
      </c>
      <c r="F28" s="15">
        <v>0</v>
      </c>
      <c r="G28" s="30">
        <f>H28/6000</f>
        <v>21.96</v>
      </c>
      <c r="H28" s="15">
        <v>131760</v>
      </c>
      <c r="I28" s="15" t="str">
        <f t="shared" si="1"/>
        <v>Clean</v>
      </c>
      <c r="J28" s="15" t="b">
        <v>0</v>
      </c>
      <c r="K28" s="15" t="str">
        <f t="shared" si="2"/>
        <v>Moderate</v>
      </c>
      <c r="L28" s="15">
        <v>0.62</v>
      </c>
      <c r="M28" s="15" t="str">
        <f t="shared" si="3"/>
        <v>Low Energy</v>
      </c>
      <c r="N28" s="15">
        <v>0.309</v>
      </c>
      <c r="O28" s="15">
        <v>5</v>
      </c>
      <c r="P28" s="15">
        <v>-9.2089999999999996</v>
      </c>
      <c r="Q28" s="15">
        <v>1</v>
      </c>
      <c r="R28" s="15">
        <v>4.9500000000000002E-2</v>
      </c>
      <c r="S28" s="15">
        <v>0.78800000000000003</v>
      </c>
      <c r="T28" s="15">
        <v>0</v>
      </c>
      <c r="U28" s="15">
        <v>0.14599999999999999</v>
      </c>
      <c r="V28" s="15">
        <v>0.66400000000000003</v>
      </c>
      <c r="W28" s="15">
        <v>145.363</v>
      </c>
      <c r="X28" s="15">
        <v>4</v>
      </c>
      <c r="Y28" s="16" t="s">
        <v>4</v>
      </c>
    </row>
    <row r="29" spans="1:28" x14ac:dyDescent="0.3">
      <c r="A29" s="17" t="s">
        <v>94</v>
      </c>
      <c r="B29" s="18" t="s">
        <v>30</v>
      </c>
      <c r="C29" s="18" t="s">
        <v>95</v>
      </c>
      <c r="D29" s="18" t="s">
        <v>96</v>
      </c>
      <c r="E29" s="18" t="str">
        <f t="shared" si="0"/>
        <v>Low</v>
      </c>
      <c r="F29" s="18">
        <v>0</v>
      </c>
      <c r="G29" s="30">
        <f>H29/6000</f>
        <v>45.608833333333337</v>
      </c>
      <c r="H29" s="18">
        <v>273653</v>
      </c>
      <c r="I29" s="18" t="str">
        <f t="shared" si="1"/>
        <v>Clean</v>
      </c>
      <c r="J29" s="18" t="b">
        <v>0</v>
      </c>
      <c r="K29" s="18" t="str">
        <f t="shared" si="2"/>
        <v>Moderate</v>
      </c>
      <c r="L29" s="18">
        <v>0.63300000000000001</v>
      </c>
      <c r="M29" s="18" t="str">
        <f t="shared" si="3"/>
        <v>Medium Energy</v>
      </c>
      <c r="N29" s="18">
        <v>0.42899999999999999</v>
      </c>
      <c r="O29" s="18">
        <v>4</v>
      </c>
      <c r="P29" s="18">
        <v>-6.7839999999999998</v>
      </c>
      <c r="Q29" s="18">
        <v>0</v>
      </c>
      <c r="R29" s="18">
        <v>3.8100000000000002E-2</v>
      </c>
      <c r="S29" s="18">
        <v>4.4400000000000002E-2</v>
      </c>
      <c r="T29" s="18">
        <v>0</v>
      </c>
      <c r="U29" s="18">
        <v>0.13200000000000001</v>
      </c>
      <c r="V29" s="18">
        <v>0.52</v>
      </c>
      <c r="W29" s="18">
        <v>143.79300000000001</v>
      </c>
      <c r="X29" s="18">
        <v>4</v>
      </c>
      <c r="Y29" s="19" t="s">
        <v>4</v>
      </c>
    </row>
    <row r="30" spans="1:28" x14ac:dyDescent="0.3">
      <c r="A30" s="14" t="s">
        <v>97</v>
      </c>
      <c r="B30" s="15" t="s">
        <v>30</v>
      </c>
      <c r="C30" s="15" t="s">
        <v>98</v>
      </c>
      <c r="D30" s="15" t="s">
        <v>93</v>
      </c>
      <c r="E30" s="15" t="str">
        <f t="shared" si="0"/>
        <v>Low</v>
      </c>
      <c r="F30" s="15">
        <v>0</v>
      </c>
      <c r="G30" s="30">
        <f>H30/6000</f>
        <v>21.96</v>
      </c>
      <c r="H30" s="15">
        <v>131760</v>
      </c>
      <c r="I30" s="15" t="str">
        <f t="shared" si="1"/>
        <v>Clean</v>
      </c>
      <c r="J30" s="15" t="b">
        <v>0</v>
      </c>
      <c r="K30" s="15" t="str">
        <f t="shared" si="2"/>
        <v>Moderate</v>
      </c>
      <c r="L30" s="15">
        <v>0.62</v>
      </c>
      <c r="M30" s="15" t="str">
        <f t="shared" si="3"/>
        <v>Low Energy</v>
      </c>
      <c r="N30" s="15">
        <v>0.309</v>
      </c>
      <c r="O30" s="15">
        <v>5</v>
      </c>
      <c r="P30" s="15">
        <v>-9.2089999999999996</v>
      </c>
      <c r="Q30" s="15">
        <v>1</v>
      </c>
      <c r="R30" s="15">
        <v>4.9500000000000002E-2</v>
      </c>
      <c r="S30" s="15">
        <v>0.78800000000000003</v>
      </c>
      <c r="T30" s="15">
        <v>0</v>
      </c>
      <c r="U30" s="15">
        <v>0.14599999999999999</v>
      </c>
      <c r="V30" s="15">
        <v>0.66400000000000003</v>
      </c>
      <c r="W30" s="15">
        <v>145.363</v>
      </c>
      <c r="X30" s="15">
        <v>4</v>
      </c>
      <c r="Y30" s="16" t="s">
        <v>4</v>
      </c>
    </row>
    <row r="31" spans="1:28" x14ac:dyDescent="0.3">
      <c r="A31" s="17" t="s">
        <v>99</v>
      </c>
      <c r="B31" s="18" t="s">
        <v>30</v>
      </c>
      <c r="C31" s="18" t="s">
        <v>100</v>
      </c>
      <c r="D31" s="18" t="s">
        <v>93</v>
      </c>
      <c r="E31" s="18" t="str">
        <f t="shared" si="0"/>
        <v>Low</v>
      </c>
      <c r="F31" s="18">
        <v>0</v>
      </c>
      <c r="G31" s="30">
        <f>H31/6000</f>
        <v>21.96</v>
      </c>
      <c r="H31" s="18">
        <v>131760</v>
      </c>
      <c r="I31" s="18" t="str">
        <f t="shared" si="1"/>
        <v>Clean</v>
      </c>
      <c r="J31" s="18" t="b">
        <v>0</v>
      </c>
      <c r="K31" s="18" t="str">
        <f t="shared" si="2"/>
        <v>Moderate</v>
      </c>
      <c r="L31" s="18">
        <v>0.62</v>
      </c>
      <c r="M31" s="18" t="str">
        <f t="shared" si="3"/>
        <v>Low Energy</v>
      </c>
      <c r="N31" s="18">
        <v>0.309</v>
      </c>
      <c r="O31" s="18">
        <v>5</v>
      </c>
      <c r="P31" s="18">
        <v>-9.2089999999999996</v>
      </c>
      <c r="Q31" s="18">
        <v>1</v>
      </c>
      <c r="R31" s="18">
        <v>4.9500000000000002E-2</v>
      </c>
      <c r="S31" s="18">
        <v>0.78800000000000003</v>
      </c>
      <c r="T31" s="18">
        <v>0</v>
      </c>
      <c r="U31" s="18">
        <v>0.14599999999999999</v>
      </c>
      <c r="V31" s="18">
        <v>0.66400000000000003</v>
      </c>
      <c r="W31" s="18">
        <v>145.363</v>
      </c>
      <c r="X31" s="18">
        <v>4</v>
      </c>
      <c r="Y31" s="19" t="s">
        <v>4</v>
      </c>
    </row>
    <row r="32" spans="1:28" x14ac:dyDescent="0.3">
      <c r="A32" s="14" t="s">
        <v>101</v>
      </c>
      <c r="B32" s="15" t="s">
        <v>30</v>
      </c>
      <c r="C32" s="15" t="s">
        <v>102</v>
      </c>
      <c r="D32" s="15" t="s">
        <v>93</v>
      </c>
      <c r="E32" s="15" t="str">
        <f t="shared" si="0"/>
        <v>Low</v>
      </c>
      <c r="F32" s="15">
        <v>0</v>
      </c>
      <c r="G32" s="30">
        <f>H32/6000</f>
        <v>21.96</v>
      </c>
      <c r="H32" s="15">
        <v>131760</v>
      </c>
      <c r="I32" s="15" t="str">
        <f t="shared" si="1"/>
        <v>Clean</v>
      </c>
      <c r="J32" s="15" t="b">
        <v>0</v>
      </c>
      <c r="K32" s="15" t="str">
        <f t="shared" si="2"/>
        <v>Moderate</v>
      </c>
      <c r="L32" s="15">
        <v>0.62</v>
      </c>
      <c r="M32" s="15" t="str">
        <f t="shared" si="3"/>
        <v>Low Energy</v>
      </c>
      <c r="N32" s="15">
        <v>0.309</v>
      </c>
      <c r="O32" s="15">
        <v>5</v>
      </c>
      <c r="P32" s="15">
        <v>-9.2089999999999996</v>
      </c>
      <c r="Q32" s="15">
        <v>1</v>
      </c>
      <c r="R32" s="15">
        <v>4.9500000000000002E-2</v>
      </c>
      <c r="S32" s="15">
        <v>0.78800000000000003</v>
      </c>
      <c r="T32" s="15">
        <v>0</v>
      </c>
      <c r="U32" s="15">
        <v>0.14599999999999999</v>
      </c>
      <c r="V32" s="15">
        <v>0.66400000000000003</v>
      </c>
      <c r="W32" s="15">
        <v>145.363</v>
      </c>
      <c r="X32" s="15">
        <v>4</v>
      </c>
      <c r="Y32" s="16" t="s">
        <v>4</v>
      </c>
    </row>
    <row r="33" spans="1:25" x14ac:dyDescent="0.3">
      <c r="A33" s="17" t="s">
        <v>103</v>
      </c>
      <c r="B33" s="18" t="s">
        <v>30</v>
      </c>
      <c r="C33" s="18" t="s">
        <v>104</v>
      </c>
      <c r="D33" s="18" t="s">
        <v>93</v>
      </c>
      <c r="E33" s="18" t="str">
        <f t="shared" si="0"/>
        <v>Low</v>
      </c>
      <c r="F33" s="18">
        <v>0</v>
      </c>
      <c r="G33" s="30">
        <f>H33/6000</f>
        <v>21.96</v>
      </c>
      <c r="H33" s="18">
        <v>131760</v>
      </c>
      <c r="I33" s="18" t="str">
        <f t="shared" si="1"/>
        <v>Clean</v>
      </c>
      <c r="J33" s="18" t="b">
        <v>0</v>
      </c>
      <c r="K33" s="18" t="str">
        <f t="shared" si="2"/>
        <v>Moderate</v>
      </c>
      <c r="L33" s="18">
        <v>0.62</v>
      </c>
      <c r="M33" s="18" t="str">
        <f t="shared" si="3"/>
        <v>Low Energy</v>
      </c>
      <c r="N33" s="18">
        <v>0.309</v>
      </c>
      <c r="O33" s="18">
        <v>5</v>
      </c>
      <c r="P33" s="18">
        <v>-9.2089999999999996</v>
      </c>
      <c r="Q33" s="18">
        <v>1</v>
      </c>
      <c r="R33" s="18">
        <v>4.9500000000000002E-2</v>
      </c>
      <c r="S33" s="18">
        <v>0.78800000000000003</v>
      </c>
      <c r="T33" s="18">
        <v>0</v>
      </c>
      <c r="U33" s="18">
        <v>0.14599999999999999</v>
      </c>
      <c r="V33" s="18">
        <v>0.66400000000000003</v>
      </c>
      <c r="W33" s="18">
        <v>145.363</v>
      </c>
      <c r="X33" s="18">
        <v>4</v>
      </c>
      <c r="Y33" s="19" t="s">
        <v>4</v>
      </c>
    </row>
    <row r="34" spans="1:25" x14ac:dyDescent="0.3">
      <c r="A34" s="14" t="s">
        <v>105</v>
      </c>
      <c r="B34" s="15" t="s">
        <v>19</v>
      </c>
      <c r="C34" s="15" t="s">
        <v>106</v>
      </c>
      <c r="D34" s="15" t="s">
        <v>107</v>
      </c>
      <c r="E34" s="15" t="str">
        <f t="shared" si="0"/>
        <v>Low</v>
      </c>
      <c r="F34" s="15">
        <v>0</v>
      </c>
      <c r="G34" s="30">
        <f>H34/6000</f>
        <v>39.030999999999999</v>
      </c>
      <c r="H34" s="15">
        <v>234186</v>
      </c>
      <c r="I34" s="15" t="str">
        <f t="shared" si="1"/>
        <v>Clean</v>
      </c>
      <c r="J34" s="15" t="b">
        <v>0</v>
      </c>
      <c r="K34" s="15" t="str">
        <f t="shared" si="2"/>
        <v>Moderate</v>
      </c>
      <c r="L34" s="15">
        <v>0.59299999999999997</v>
      </c>
      <c r="M34" s="15" t="str">
        <f t="shared" si="3"/>
        <v>Medium Energy</v>
      </c>
      <c r="N34" s="15">
        <v>0.45500000000000002</v>
      </c>
      <c r="O34" s="15">
        <v>6</v>
      </c>
      <c r="P34" s="15">
        <v>-8.1920000000000002</v>
      </c>
      <c r="Q34" s="15">
        <v>1</v>
      </c>
      <c r="R34" s="15">
        <v>3.8800000000000001E-2</v>
      </c>
      <c r="S34" s="15">
        <v>0.36599999999999999</v>
      </c>
      <c r="T34" s="15">
        <v>0</v>
      </c>
      <c r="U34" s="15">
        <v>9.1399999999999995E-2</v>
      </c>
      <c r="V34" s="15">
        <v>0.56399999999999995</v>
      </c>
      <c r="W34" s="15">
        <v>202.01900000000001</v>
      </c>
      <c r="X34" s="15">
        <v>4</v>
      </c>
      <c r="Y34" s="16" t="s">
        <v>4</v>
      </c>
    </row>
    <row r="35" spans="1:25" x14ac:dyDescent="0.3">
      <c r="A35" s="17" t="s">
        <v>108</v>
      </c>
      <c r="B35" s="18" t="s">
        <v>109</v>
      </c>
      <c r="C35" s="18" t="s">
        <v>86</v>
      </c>
      <c r="D35" s="18" t="s">
        <v>110</v>
      </c>
      <c r="E35" s="18" t="str">
        <f t="shared" si="0"/>
        <v>Low</v>
      </c>
      <c r="F35" s="18">
        <v>0</v>
      </c>
      <c r="G35" s="30">
        <f>H35/6000</f>
        <v>43.259666666666668</v>
      </c>
      <c r="H35" s="18">
        <v>259558</v>
      </c>
      <c r="I35" s="18" t="str">
        <f t="shared" si="1"/>
        <v>Clean</v>
      </c>
      <c r="J35" s="18" t="b">
        <v>0</v>
      </c>
      <c r="K35" s="18" t="str">
        <f t="shared" si="2"/>
        <v>Low</v>
      </c>
      <c r="L35" s="18">
        <v>0.29599999999999999</v>
      </c>
      <c r="M35" s="18" t="str">
        <f t="shared" si="3"/>
        <v>Low Energy</v>
      </c>
      <c r="N35" s="18">
        <v>0.20599999999999999</v>
      </c>
      <c r="O35" s="18">
        <v>0</v>
      </c>
      <c r="P35" s="18">
        <v>-11.798999999999999</v>
      </c>
      <c r="Q35" s="18">
        <v>1</v>
      </c>
      <c r="R35" s="18">
        <v>4.1200000000000001E-2</v>
      </c>
      <c r="S35" s="18">
        <v>0.78200000000000003</v>
      </c>
      <c r="T35" s="18">
        <v>2.2499999999999999E-4</v>
      </c>
      <c r="U35" s="18">
        <v>9.5899999999999999E-2</v>
      </c>
      <c r="V35" s="18">
        <v>0.20200000000000001</v>
      </c>
      <c r="W35" s="18">
        <v>165.4</v>
      </c>
      <c r="X35" s="18">
        <v>4</v>
      </c>
      <c r="Y35" s="19" t="s">
        <v>4</v>
      </c>
    </row>
    <row r="36" spans="1:25" x14ac:dyDescent="0.3">
      <c r="A36" s="14" t="s">
        <v>111</v>
      </c>
      <c r="B36" s="15" t="s">
        <v>109</v>
      </c>
      <c r="C36" s="15" t="s">
        <v>95</v>
      </c>
      <c r="D36" s="15" t="s">
        <v>110</v>
      </c>
      <c r="E36" s="15" t="str">
        <f t="shared" si="0"/>
        <v>Low</v>
      </c>
      <c r="F36" s="15">
        <v>0</v>
      </c>
      <c r="G36" s="30">
        <f>H36/6000</f>
        <v>43.259666666666668</v>
      </c>
      <c r="H36" s="15">
        <v>259558</v>
      </c>
      <c r="I36" s="15" t="str">
        <f t="shared" si="1"/>
        <v>Clean</v>
      </c>
      <c r="J36" s="15" t="b">
        <v>0</v>
      </c>
      <c r="K36" s="15" t="str">
        <f t="shared" si="2"/>
        <v>Low</v>
      </c>
      <c r="L36" s="15">
        <v>0.29599999999999999</v>
      </c>
      <c r="M36" s="15" t="str">
        <f t="shared" si="3"/>
        <v>Low Energy</v>
      </c>
      <c r="N36" s="15">
        <v>0.20599999999999999</v>
      </c>
      <c r="O36" s="15">
        <v>0</v>
      </c>
      <c r="P36" s="15">
        <v>-11.798999999999999</v>
      </c>
      <c r="Q36" s="15">
        <v>1</v>
      </c>
      <c r="R36" s="15">
        <v>4.1200000000000001E-2</v>
      </c>
      <c r="S36" s="15">
        <v>0.78200000000000003</v>
      </c>
      <c r="T36" s="15">
        <v>2.2499999999999999E-4</v>
      </c>
      <c r="U36" s="15">
        <v>9.5899999999999999E-2</v>
      </c>
      <c r="V36" s="15">
        <v>0.20200000000000001</v>
      </c>
      <c r="W36" s="15">
        <v>165.4</v>
      </c>
      <c r="X36" s="15">
        <v>4</v>
      </c>
      <c r="Y36" s="16" t="s">
        <v>4</v>
      </c>
    </row>
    <row r="37" spans="1:25" x14ac:dyDescent="0.3">
      <c r="A37" s="17" t="s">
        <v>112</v>
      </c>
      <c r="B37" s="18" t="s">
        <v>109</v>
      </c>
      <c r="C37" s="18" t="s">
        <v>113</v>
      </c>
      <c r="D37" s="18" t="s">
        <v>110</v>
      </c>
      <c r="E37" s="18" t="str">
        <f t="shared" si="0"/>
        <v>Low</v>
      </c>
      <c r="F37" s="18">
        <v>0</v>
      </c>
      <c r="G37" s="30">
        <f>H37/6000</f>
        <v>43.259666666666668</v>
      </c>
      <c r="H37" s="18">
        <v>259558</v>
      </c>
      <c r="I37" s="18" t="str">
        <f t="shared" si="1"/>
        <v>Clean</v>
      </c>
      <c r="J37" s="18" t="b">
        <v>0</v>
      </c>
      <c r="K37" s="18" t="str">
        <f t="shared" si="2"/>
        <v>Low</v>
      </c>
      <c r="L37" s="18">
        <v>0.29599999999999999</v>
      </c>
      <c r="M37" s="18" t="str">
        <f t="shared" si="3"/>
        <v>Low Energy</v>
      </c>
      <c r="N37" s="18">
        <v>0.20599999999999999</v>
      </c>
      <c r="O37" s="18">
        <v>0</v>
      </c>
      <c r="P37" s="18">
        <v>-11.798999999999999</v>
      </c>
      <c r="Q37" s="18">
        <v>1</v>
      </c>
      <c r="R37" s="18">
        <v>4.1200000000000001E-2</v>
      </c>
      <c r="S37" s="18">
        <v>0.78200000000000003</v>
      </c>
      <c r="T37" s="18">
        <v>2.2499999999999999E-4</v>
      </c>
      <c r="U37" s="18">
        <v>9.5899999999999999E-2</v>
      </c>
      <c r="V37" s="18">
        <v>0.20200000000000001</v>
      </c>
      <c r="W37" s="18">
        <v>165.4</v>
      </c>
      <c r="X37" s="18">
        <v>4</v>
      </c>
      <c r="Y37" s="19" t="s">
        <v>4</v>
      </c>
    </row>
    <row r="38" spans="1:25" x14ac:dyDescent="0.3">
      <c r="A38" s="14" t="s">
        <v>114</v>
      </c>
      <c r="B38" s="15" t="s">
        <v>115</v>
      </c>
      <c r="C38" s="15" t="s">
        <v>116</v>
      </c>
      <c r="D38" s="15" t="s">
        <v>117</v>
      </c>
      <c r="E38" s="15" t="str">
        <f t="shared" si="0"/>
        <v>Low</v>
      </c>
      <c r="F38" s="15">
        <v>0</v>
      </c>
      <c r="G38" s="30">
        <f>H38/6000</f>
        <v>42.915500000000002</v>
      </c>
      <c r="H38" s="15">
        <v>257493</v>
      </c>
      <c r="I38" s="15" t="str">
        <f t="shared" si="1"/>
        <v>Clean</v>
      </c>
      <c r="J38" s="15" t="b">
        <v>0</v>
      </c>
      <c r="K38" s="15" t="str">
        <f t="shared" si="2"/>
        <v>Moderate</v>
      </c>
      <c r="L38" s="15">
        <v>0.40899999999999997</v>
      </c>
      <c r="M38" s="15" t="str">
        <f t="shared" si="3"/>
        <v>Low Energy</v>
      </c>
      <c r="N38" s="15">
        <v>0.153</v>
      </c>
      <c r="O38" s="15">
        <v>6</v>
      </c>
      <c r="P38" s="15">
        <v>-10.74</v>
      </c>
      <c r="Q38" s="15">
        <v>0</v>
      </c>
      <c r="R38" s="15">
        <v>3.0599999999999999E-2</v>
      </c>
      <c r="S38" s="15">
        <v>0.93899999999999995</v>
      </c>
      <c r="T38" s="20" t="s">
        <v>118</v>
      </c>
      <c r="U38" s="15">
        <v>0.108</v>
      </c>
      <c r="V38" s="15">
        <v>0.18</v>
      </c>
      <c r="W38" s="15">
        <v>85.262</v>
      </c>
      <c r="X38" s="15">
        <v>4</v>
      </c>
      <c r="Y38" s="16" t="s">
        <v>4</v>
      </c>
    </row>
    <row r="39" spans="1:25" x14ac:dyDescent="0.3">
      <c r="A39" s="17" t="s">
        <v>119</v>
      </c>
      <c r="B39" s="18" t="s">
        <v>120</v>
      </c>
      <c r="C39" s="18" t="s">
        <v>121</v>
      </c>
      <c r="D39" s="18" t="s">
        <v>122</v>
      </c>
      <c r="E39" s="18" t="str">
        <f t="shared" si="0"/>
        <v>Low</v>
      </c>
      <c r="F39" s="18">
        <v>0</v>
      </c>
      <c r="G39" s="30">
        <f>H39/6000</f>
        <v>41.298499999999997</v>
      </c>
      <c r="H39" s="18">
        <v>247791</v>
      </c>
      <c r="I39" s="18" t="str">
        <f t="shared" si="1"/>
        <v>Clean</v>
      </c>
      <c r="J39" s="18" t="b">
        <v>0</v>
      </c>
      <c r="K39" s="18" t="str">
        <f t="shared" si="2"/>
        <v>Moderate</v>
      </c>
      <c r="L39" s="18">
        <v>0.501</v>
      </c>
      <c r="M39" s="18" t="str">
        <f t="shared" si="3"/>
        <v>Low Energy</v>
      </c>
      <c r="N39" s="18">
        <v>9.5200000000000007E-2</v>
      </c>
      <c r="O39" s="18">
        <v>2</v>
      </c>
      <c r="P39" s="18">
        <v>-12.930999999999999</v>
      </c>
      <c r="Q39" s="18">
        <v>1</v>
      </c>
      <c r="R39" s="18">
        <v>5.3999999999999999E-2</v>
      </c>
      <c r="S39" s="18">
        <v>0.96299999999999997</v>
      </c>
      <c r="T39" s="21" t="s">
        <v>123</v>
      </c>
      <c r="U39" s="18">
        <v>9.1499999999999998E-2</v>
      </c>
      <c r="V39" s="18">
        <v>0.316</v>
      </c>
      <c r="W39" s="18">
        <v>138.01599999999999</v>
      </c>
      <c r="X39" s="18">
        <v>4</v>
      </c>
      <c r="Y39" s="19" t="s">
        <v>4</v>
      </c>
    </row>
    <row r="40" spans="1:25" x14ac:dyDescent="0.3">
      <c r="A40" s="14" t="s">
        <v>124</v>
      </c>
      <c r="B40" s="15" t="s">
        <v>120</v>
      </c>
      <c r="C40" s="15" t="s">
        <v>82</v>
      </c>
      <c r="D40" s="15" t="s">
        <v>125</v>
      </c>
      <c r="E40" s="15" t="str">
        <f t="shared" si="0"/>
        <v>Low</v>
      </c>
      <c r="F40" s="15">
        <v>0</v>
      </c>
      <c r="G40" s="30">
        <f>H40/6000</f>
        <v>34.377833333333335</v>
      </c>
      <c r="H40" s="15">
        <v>206267</v>
      </c>
      <c r="I40" s="15" t="str">
        <f t="shared" si="1"/>
        <v>Clean</v>
      </c>
      <c r="J40" s="15" t="b">
        <v>0</v>
      </c>
      <c r="K40" s="15" t="str">
        <f t="shared" si="2"/>
        <v>Moderate</v>
      </c>
      <c r="L40" s="15">
        <v>0.60599999999999998</v>
      </c>
      <c r="M40" s="15" t="str">
        <f t="shared" si="3"/>
        <v>Low Energy</v>
      </c>
      <c r="N40" s="15">
        <v>0.32600000000000001</v>
      </c>
      <c r="O40" s="15">
        <v>10</v>
      </c>
      <c r="P40" s="15">
        <v>-10.031000000000001</v>
      </c>
      <c r="Q40" s="15">
        <v>1</v>
      </c>
      <c r="R40" s="15">
        <v>2.9399999999999999E-2</v>
      </c>
      <c r="S40" s="15">
        <v>0.84099999999999997</v>
      </c>
      <c r="T40" s="15">
        <v>0</v>
      </c>
      <c r="U40" s="15">
        <v>0.13900000000000001</v>
      </c>
      <c r="V40" s="15">
        <v>0.41399999999999998</v>
      </c>
      <c r="W40" s="15">
        <v>91.626000000000005</v>
      </c>
      <c r="X40" s="15">
        <v>4</v>
      </c>
      <c r="Y40" s="16" t="s">
        <v>4</v>
      </c>
    </row>
    <row r="41" spans="1:25" x14ac:dyDescent="0.3">
      <c r="A41" s="17" t="s">
        <v>126</v>
      </c>
      <c r="B41" s="18" t="s">
        <v>115</v>
      </c>
      <c r="C41" s="18" t="s">
        <v>127</v>
      </c>
      <c r="D41" s="18" t="s">
        <v>117</v>
      </c>
      <c r="E41" s="18" t="str">
        <f t="shared" si="0"/>
        <v>Low</v>
      </c>
      <c r="F41" s="18">
        <v>0</v>
      </c>
      <c r="G41" s="30">
        <f>H41/6000</f>
        <v>42.915500000000002</v>
      </c>
      <c r="H41" s="18">
        <v>257493</v>
      </c>
      <c r="I41" s="18" t="str">
        <f t="shared" si="1"/>
        <v>Clean</v>
      </c>
      <c r="J41" s="18" t="b">
        <v>0</v>
      </c>
      <c r="K41" s="18" t="str">
        <f t="shared" si="2"/>
        <v>Moderate</v>
      </c>
      <c r="L41" s="18">
        <v>0.40899999999999997</v>
      </c>
      <c r="M41" s="18" t="str">
        <f t="shared" si="3"/>
        <v>Low Energy</v>
      </c>
      <c r="N41" s="18">
        <v>0.153</v>
      </c>
      <c r="O41" s="18">
        <v>6</v>
      </c>
      <c r="P41" s="18">
        <v>-10.74</v>
      </c>
      <c r="Q41" s="18">
        <v>0</v>
      </c>
      <c r="R41" s="18">
        <v>3.0599999999999999E-2</v>
      </c>
      <c r="S41" s="18">
        <v>0.93899999999999995</v>
      </c>
      <c r="T41" s="21" t="s">
        <v>118</v>
      </c>
      <c r="U41" s="18">
        <v>0.108</v>
      </c>
      <c r="V41" s="18">
        <v>0.18</v>
      </c>
      <c r="W41" s="18">
        <v>85.262</v>
      </c>
      <c r="X41" s="18">
        <v>4</v>
      </c>
      <c r="Y41" s="19" t="s">
        <v>4</v>
      </c>
    </row>
    <row r="42" spans="1:25" x14ac:dyDescent="0.3">
      <c r="A42" s="14" t="s">
        <v>128</v>
      </c>
      <c r="B42" s="15" t="s">
        <v>129</v>
      </c>
      <c r="C42" s="15" t="s">
        <v>130</v>
      </c>
      <c r="D42" s="15" t="s">
        <v>131</v>
      </c>
      <c r="E42" s="15" t="str">
        <f t="shared" si="0"/>
        <v>Low</v>
      </c>
      <c r="F42" s="15">
        <v>0</v>
      </c>
      <c r="G42" s="30">
        <f>H42/6000</f>
        <v>51.132333333333335</v>
      </c>
      <c r="H42" s="15">
        <v>306794</v>
      </c>
      <c r="I42" s="15" t="str">
        <f t="shared" si="1"/>
        <v>Clean</v>
      </c>
      <c r="J42" s="15" t="b">
        <v>0</v>
      </c>
      <c r="K42" s="15" t="str">
        <f t="shared" si="2"/>
        <v>Moderate</v>
      </c>
      <c r="L42" s="15">
        <v>0.47399999999999998</v>
      </c>
      <c r="M42" s="15" t="str">
        <f t="shared" si="3"/>
        <v>Medium Energy</v>
      </c>
      <c r="N42" s="15">
        <v>0.51900000000000002</v>
      </c>
      <c r="O42" s="15">
        <v>7</v>
      </c>
      <c r="P42" s="15">
        <v>-5.2910000000000004</v>
      </c>
      <c r="Q42" s="15">
        <v>1</v>
      </c>
      <c r="R42" s="15">
        <v>2.53E-2</v>
      </c>
      <c r="S42" s="15">
        <v>0.28100000000000003</v>
      </c>
      <c r="T42" s="15">
        <v>0</v>
      </c>
      <c r="U42" s="15">
        <v>0.107</v>
      </c>
      <c r="V42" s="15">
        <v>0.32600000000000001</v>
      </c>
      <c r="W42" s="15">
        <v>151.83199999999999</v>
      </c>
      <c r="X42" s="15">
        <v>4</v>
      </c>
      <c r="Y42" s="16" t="s">
        <v>4</v>
      </c>
    </row>
    <row r="43" spans="1:25" x14ac:dyDescent="0.3">
      <c r="A43" s="17" t="s">
        <v>132</v>
      </c>
      <c r="B43" s="18" t="s">
        <v>120</v>
      </c>
      <c r="C43" s="18" t="s">
        <v>89</v>
      </c>
      <c r="D43" s="18" t="s">
        <v>133</v>
      </c>
      <c r="E43" s="18" t="str">
        <f t="shared" si="0"/>
        <v>Low</v>
      </c>
      <c r="F43" s="18">
        <v>0</v>
      </c>
      <c r="G43" s="30">
        <f>H43/6000</f>
        <v>44.493333333333332</v>
      </c>
      <c r="H43" s="18">
        <v>266960</v>
      </c>
      <c r="I43" s="18" t="str">
        <f t="shared" si="1"/>
        <v>Clean</v>
      </c>
      <c r="J43" s="18" t="b">
        <v>0</v>
      </c>
      <c r="K43" s="18" t="str">
        <f t="shared" si="2"/>
        <v>Moderate</v>
      </c>
      <c r="L43" s="18">
        <v>0.56799999999999995</v>
      </c>
      <c r="M43" s="18" t="str">
        <f t="shared" si="3"/>
        <v>Low Energy</v>
      </c>
      <c r="N43" s="18">
        <v>0.30099999999999999</v>
      </c>
      <c r="O43" s="18">
        <v>10</v>
      </c>
      <c r="P43" s="18">
        <v>-10.163</v>
      </c>
      <c r="Q43" s="18">
        <v>0</v>
      </c>
      <c r="R43" s="18">
        <v>3.73E-2</v>
      </c>
      <c r="S43" s="18">
        <v>0.79600000000000004</v>
      </c>
      <c r="T43" s="21" t="s">
        <v>134</v>
      </c>
      <c r="U43" s="18">
        <v>0.11799999999999999</v>
      </c>
      <c r="V43" s="18">
        <v>0.14199999999999999</v>
      </c>
      <c r="W43" s="18">
        <v>88.028999999999996</v>
      </c>
      <c r="X43" s="18">
        <v>4</v>
      </c>
      <c r="Y43" s="19" t="s">
        <v>4</v>
      </c>
    </row>
    <row r="44" spans="1:25" x14ac:dyDescent="0.3">
      <c r="A44" s="14" t="s">
        <v>135</v>
      </c>
      <c r="B44" s="15" t="s">
        <v>136</v>
      </c>
      <c r="C44" s="15" t="s">
        <v>137</v>
      </c>
      <c r="D44" s="15" t="s">
        <v>138</v>
      </c>
      <c r="E44" s="15" t="str">
        <f t="shared" si="0"/>
        <v>Low</v>
      </c>
      <c r="F44" s="15">
        <v>0</v>
      </c>
      <c r="G44" s="30">
        <f>H44/6000</f>
        <v>38.349666666666664</v>
      </c>
      <c r="H44" s="15">
        <v>230098</v>
      </c>
      <c r="I44" s="15" t="str">
        <f t="shared" si="1"/>
        <v>Clean</v>
      </c>
      <c r="J44" s="15" t="b">
        <v>0</v>
      </c>
      <c r="K44" s="15" t="str">
        <f t="shared" si="2"/>
        <v>Moderate</v>
      </c>
      <c r="L44" s="15">
        <v>0.56799999999999995</v>
      </c>
      <c r="M44" s="15" t="str">
        <f t="shared" si="3"/>
        <v>Medium Energy</v>
      </c>
      <c r="N44" s="15">
        <v>0.68600000000000005</v>
      </c>
      <c r="O44" s="15">
        <v>1</v>
      </c>
      <c r="P44" s="15">
        <v>-6.6349999999999998</v>
      </c>
      <c r="Q44" s="15">
        <v>1</v>
      </c>
      <c r="R44" s="15">
        <v>3.3000000000000002E-2</v>
      </c>
      <c r="S44" s="15">
        <v>0.15</v>
      </c>
      <c r="T44" s="20" t="s">
        <v>139</v>
      </c>
      <c r="U44" s="15">
        <v>8.8099999999999998E-2</v>
      </c>
      <c r="V44" s="15">
        <v>0.72499999999999998</v>
      </c>
      <c r="W44" s="15">
        <v>172.07499999999999</v>
      </c>
      <c r="X44" s="15">
        <v>4</v>
      </c>
      <c r="Y44" s="16" t="s">
        <v>4</v>
      </c>
    </row>
    <row r="45" spans="1:25" x14ac:dyDescent="0.3">
      <c r="A45" s="17" t="s">
        <v>140</v>
      </c>
      <c r="B45" s="18" t="s">
        <v>136</v>
      </c>
      <c r="C45" s="18" t="s">
        <v>141</v>
      </c>
      <c r="D45" s="18" t="s">
        <v>138</v>
      </c>
      <c r="E45" s="18" t="str">
        <f t="shared" si="0"/>
        <v>Low</v>
      </c>
      <c r="F45" s="18">
        <v>0</v>
      </c>
      <c r="G45" s="30">
        <f>H45/6000</f>
        <v>38.349666666666664</v>
      </c>
      <c r="H45" s="18">
        <v>230098</v>
      </c>
      <c r="I45" s="18" t="str">
        <f t="shared" si="1"/>
        <v>Clean</v>
      </c>
      <c r="J45" s="18" t="b">
        <v>0</v>
      </c>
      <c r="K45" s="18" t="str">
        <f t="shared" si="2"/>
        <v>Moderate</v>
      </c>
      <c r="L45" s="18">
        <v>0.56799999999999995</v>
      </c>
      <c r="M45" s="18" t="str">
        <f t="shared" si="3"/>
        <v>Medium Energy</v>
      </c>
      <c r="N45" s="18">
        <v>0.68600000000000005</v>
      </c>
      <c r="O45" s="18">
        <v>1</v>
      </c>
      <c r="P45" s="18">
        <v>-6.6349999999999998</v>
      </c>
      <c r="Q45" s="18">
        <v>1</v>
      </c>
      <c r="R45" s="18">
        <v>3.3000000000000002E-2</v>
      </c>
      <c r="S45" s="18">
        <v>0.15</v>
      </c>
      <c r="T45" s="21" t="s">
        <v>139</v>
      </c>
      <c r="U45" s="18">
        <v>8.8099999999999998E-2</v>
      </c>
      <c r="V45" s="18">
        <v>0.72499999999999998</v>
      </c>
      <c r="W45" s="18">
        <v>172.07499999999999</v>
      </c>
      <c r="X45" s="18">
        <v>4</v>
      </c>
      <c r="Y45" s="19" t="s">
        <v>4</v>
      </c>
    </row>
    <row r="46" spans="1:25" x14ac:dyDescent="0.3">
      <c r="A46" s="14" t="s">
        <v>142</v>
      </c>
      <c r="B46" s="15" t="s">
        <v>120</v>
      </c>
      <c r="C46" s="15" t="s">
        <v>143</v>
      </c>
      <c r="D46" s="15" t="s">
        <v>144</v>
      </c>
      <c r="E46" s="15" t="str">
        <f t="shared" si="0"/>
        <v>Low</v>
      </c>
      <c r="F46" s="15">
        <v>0</v>
      </c>
      <c r="G46" s="30">
        <f>H46/6000</f>
        <v>32.323833333333333</v>
      </c>
      <c r="H46" s="15">
        <v>193943</v>
      </c>
      <c r="I46" s="15" t="str">
        <f t="shared" si="1"/>
        <v>Clean</v>
      </c>
      <c r="J46" s="15" t="b">
        <v>0</v>
      </c>
      <c r="K46" s="15" t="str">
        <f t="shared" si="2"/>
        <v>Moderate</v>
      </c>
      <c r="L46" s="15">
        <v>0.47599999999999998</v>
      </c>
      <c r="M46" s="15" t="str">
        <f t="shared" si="3"/>
        <v>Medium Energy</v>
      </c>
      <c r="N46" s="15">
        <v>0.66600000000000004</v>
      </c>
      <c r="O46" s="15">
        <v>6</v>
      </c>
      <c r="P46" s="15">
        <v>-3.4380000000000002</v>
      </c>
      <c r="Q46" s="15">
        <v>1</v>
      </c>
      <c r="R46" s="15">
        <v>4.4600000000000001E-2</v>
      </c>
      <c r="S46" s="15">
        <v>0.314</v>
      </c>
      <c r="T46" s="15">
        <v>0</v>
      </c>
      <c r="U46" s="15">
        <v>0.34200000000000003</v>
      </c>
      <c r="V46" s="15">
        <v>0.498</v>
      </c>
      <c r="W46" s="15">
        <v>148.155</v>
      </c>
      <c r="X46" s="15">
        <v>4</v>
      </c>
      <c r="Y46" s="16" t="s">
        <v>4</v>
      </c>
    </row>
    <row r="47" spans="1:25" x14ac:dyDescent="0.3">
      <c r="A47" s="17" t="s">
        <v>145</v>
      </c>
      <c r="B47" s="18" t="s">
        <v>136</v>
      </c>
      <c r="C47" s="18" t="s">
        <v>146</v>
      </c>
      <c r="D47" s="18" t="s">
        <v>138</v>
      </c>
      <c r="E47" s="18" t="str">
        <f t="shared" si="0"/>
        <v>Low</v>
      </c>
      <c r="F47" s="18">
        <v>0</v>
      </c>
      <c r="G47" s="30">
        <f>H47/6000</f>
        <v>38.349666666666664</v>
      </c>
      <c r="H47" s="18">
        <v>230098</v>
      </c>
      <c r="I47" s="18" t="str">
        <f t="shared" si="1"/>
        <v>Clean</v>
      </c>
      <c r="J47" s="18" t="b">
        <v>0</v>
      </c>
      <c r="K47" s="18" t="str">
        <f t="shared" si="2"/>
        <v>Moderate</v>
      </c>
      <c r="L47" s="18">
        <v>0.56799999999999995</v>
      </c>
      <c r="M47" s="18" t="str">
        <f t="shared" si="3"/>
        <v>Medium Energy</v>
      </c>
      <c r="N47" s="18">
        <v>0.68600000000000005</v>
      </c>
      <c r="O47" s="18">
        <v>1</v>
      </c>
      <c r="P47" s="18">
        <v>-6.6349999999999998</v>
      </c>
      <c r="Q47" s="18">
        <v>1</v>
      </c>
      <c r="R47" s="18">
        <v>3.3000000000000002E-2</v>
      </c>
      <c r="S47" s="18">
        <v>0.15</v>
      </c>
      <c r="T47" s="21" t="s">
        <v>139</v>
      </c>
      <c r="U47" s="18">
        <v>8.8099999999999998E-2</v>
      </c>
      <c r="V47" s="18">
        <v>0.72499999999999998</v>
      </c>
      <c r="W47" s="18">
        <v>172.07499999999999</v>
      </c>
      <c r="X47" s="18">
        <v>4</v>
      </c>
      <c r="Y47" s="19" t="s">
        <v>4</v>
      </c>
    </row>
    <row r="48" spans="1:25" x14ac:dyDescent="0.3">
      <c r="A48" s="14" t="s">
        <v>147</v>
      </c>
      <c r="B48" s="15" t="s">
        <v>136</v>
      </c>
      <c r="C48" s="15" t="s">
        <v>148</v>
      </c>
      <c r="D48" s="15" t="s">
        <v>138</v>
      </c>
      <c r="E48" s="15" t="str">
        <f t="shared" si="0"/>
        <v>Low</v>
      </c>
      <c r="F48" s="15">
        <v>0</v>
      </c>
      <c r="G48" s="30">
        <f>H48/6000</f>
        <v>38.349666666666664</v>
      </c>
      <c r="H48" s="15">
        <v>230098</v>
      </c>
      <c r="I48" s="15" t="str">
        <f t="shared" si="1"/>
        <v>Clean</v>
      </c>
      <c r="J48" s="15" t="b">
        <v>0</v>
      </c>
      <c r="K48" s="15" t="str">
        <f t="shared" si="2"/>
        <v>Moderate</v>
      </c>
      <c r="L48" s="15">
        <v>0.56799999999999995</v>
      </c>
      <c r="M48" s="15" t="str">
        <f t="shared" si="3"/>
        <v>Medium Energy</v>
      </c>
      <c r="N48" s="15">
        <v>0.68600000000000005</v>
      </c>
      <c r="O48" s="15">
        <v>1</v>
      </c>
      <c r="P48" s="15">
        <v>-6.6349999999999998</v>
      </c>
      <c r="Q48" s="15">
        <v>1</v>
      </c>
      <c r="R48" s="15">
        <v>3.3000000000000002E-2</v>
      </c>
      <c r="S48" s="15">
        <v>0.15</v>
      </c>
      <c r="T48" s="20" t="s">
        <v>139</v>
      </c>
      <c r="U48" s="15">
        <v>8.8099999999999998E-2</v>
      </c>
      <c r="V48" s="15">
        <v>0.72499999999999998</v>
      </c>
      <c r="W48" s="15">
        <v>172.07499999999999</v>
      </c>
      <c r="X48" s="15">
        <v>4</v>
      </c>
      <c r="Y48" s="16" t="s">
        <v>4</v>
      </c>
    </row>
    <row r="49" spans="1:25" x14ac:dyDescent="0.3">
      <c r="A49" s="17" t="s">
        <v>149</v>
      </c>
      <c r="B49" s="18" t="s">
        <v>136</v>
      </c>
      <c r="C49" s="18" t="s">
        <v>150</v>
      </c>
      <c r="D49" s="18" t="s">
        <v>138</v>
      </c>
      <c r="E49" s="18" t="str">
        <f t="shared" si="0"/>
        <v>Low</v>
      </c>
      <c r="F49" s="18">
        <v>0</v>
      </c>
      <c r="G49" s="30">
        <f>H49/6000</f>
        <v>38.349666666666664</v>
      </c>
      <c r="H49" s="18">
        <v>230098</v>
      </c>
      <c r="I49" s="18" t="str">
        <f t="shared" si="1"/>
        <v>Clean</v>
      </c>
      <c r="J49" s="18" t="b">
        <v>0</v>
      </c>
      <c r="K49" s="18" t="str">
        <f t="shared" si="2"/>
        <v>Moderate</v>
      </c>
      <c r="L49" s="18">
        <v>0.56799999999999995</v>
      </c>
      <c r="M49" s="18" t="str">
        <f t="shared" si="3"/>
        <v>Medium Energy</v>
      </c>
      <c r="N49" s="18">
        <v>0.68600000000000005</v>
      </c>
      <c r="O49" s="18">
        <v>1</v>
      </c>
      <c r="P49" s="18">
        <v>-6.6349999999999998</v>
      </c>
      <c r="Q49" s="18">
        <v>1</v>
      </c>
      <c r="R49" s="18">
        <v>3.3000000000000002E-2</v>
      </c>
      <c r="S49" s="18">
        <v>0.15</v>
      </c>
      <c r="T49" s="21" t="s">
        <v>139</v>
      </c>
      <c r="U49" s="18">
        <v>8.8099999999999998E-2</v>
      </c>
      <c r="V49" s="18">
        <v>0.72499999999999998</v>
      </c>
      <c r="W49" s="18">
        <v>172.07499999999999</v>
      </c>
      <c r="X49" s="18">
        <v>4</v>
      </c>
      <c r="Y49" s="19" t="s">
        <v>4</v>
      </c>
    </row>
    <row r="50" spans="1:25" x14ac:dyDescent="0.3">
      <c r="A50" s="14" t="s">
        <v>151</v>
      </c>
      <c r="B50" s="15" t="s">
        <v>136</v>
      </c>
      <c r="C50" s="15" t="s">
        <v>152</v>
      </c>
      <c r="D50" s="15" t="s">
        <v>138</v>
      </c>
      <c r="E50" s="15" t="str">
        <f t="shared" si="0"/>
        <v>Low</v>
      </c>
      <c r="F50" s="15">
        <v>0</v>
      </c>
      <c r="G50" s="30">
        <f>H50/6000</f>
        <v>38.349666666666664</v>
      </c>
      <c r="H50" s="15">
        <v>230098</v>
      </c>
      <c r="I50" s="15" t="str">
        <f t="shared" si="1"/>
        <v>Clean</v>
      </c>
      <c r="J50" s="15" t="b">
        <v>0</v>
      </c>
      <c r="K50" s="15" t="str">
        <f t="shared" si="2"/>
        <v>Moderate</v>
      </c>
      <c r="L50" s="15">
        <v>0.56799999999999995</v>
      </c>
      <c r="M50" s="15" t="str">
        <f t="shared" si="3"/>
        <v>Medium Energy</v>
      </c>
      <c r="N50" s="15">
        <v>0.68600000000000005</v>
      </c>
      <c r="O50" s="15">
        <v>1</v>
      </c>
      <c r="P50" s="15">
        <v>-6.6349999999999998</v>
      </c>
      <c r="Q50" s="15">
        <v>1</v>
      </c>
      <c r="R50" s="15">
        <v>3.3000000000000002E-2</v>
      </c>
      <c r="S50" s="15">
        <v>0.15</v>
      </c>
      <c r="T50" s="20" t="s">
        <v>139</v>
      </c>
      <c r="U50" s="15">
        <v>8.8099999999999998E-2</v>
      </c>
      <c r="V50" s="15">
        <v>0.72499999999999998</v>
      </c>
      <c r="W50" s="15">
        <v>172.07499999999999</v>
      </c>
      <c r="X50" s="15">
        <v>4</v>
      </c>
      <c r="Y50" s="16" t="s">
        <v>4</v>
      </c>
    </row>
    <row r="51" spans="1:25" x14ac:dyDescent="0.3">
      <c r="A51" s="17" t="s">
        <v>153</v>
      </c>
      <c r="B51" s="18" t="s">
        <v>136</v>
      </c>
      <c r="C51" s="18" t="s">
        <v>154</v>
      </c>
      <c r="D51" s="18" t="s">
        <v>138</v>
      </c>
      <c r="E51" s="18" t="str">
        <f t="shared" si="0"/>
        <v>Low</v>
      </c>
      <c r="F51" s="18">
        <v>0</v>
      </c>
      <c r="G51" s="30">
        <f>H51/6000</f>
        <v>38.349666666666664</v>
      </c>
      <c r="H51" s="18">
        <v>230098</v>
      </c>
      <c r="I51" s="18" t="str">
        <f t="shared" si="1"/>
        <v>Clean</v>
      </c>
      <c r="J51" s="18" t="b">
        <v>0</v>
      </c>
      <c r="K51" s="18" t="str">
        <f t="shared" si="2"/>
        <v>Moderate</v>
      </c>
      <c r="L51" s="18">
        <v>0.56799999999999995</v>
      </c>
      <c r="M51" s="18" t="str">
        <f t="shared" si="3"/>
        <v>Medium Energy</v>
      </c>
      <c r="N51" s="18">
        <v>0.68600000000000005</v>
      </c>
      <c r="O51" s="18">
        <v>1</v>
      </c>
      <c r="P51" s="18">
        <v>-6.6349999999999998</v>
      </c>
      <c r="Q51" s="18">
        <v>1</v>
      </c>
      <c r="R51" s="18">
        <v>3.3000000000000002E-2</v>
      </c>
      <c r="S51" s="18">
        <v>0.15</v>
      </c>
      <c r="T51" s="21" t="s">
        <v>139</v>
      </c>
      <c r="U51" s="18">
        <v>8.8099999999999998E-2</v>
      </c>
      <c r="V51" s="18">
        <v>0.72499999999999998</v>
      </c>
      <c r="W51" s="18">
        <v>172.07499999999999</v>
      </c>
      <c r="X51" s="18">
        <v>4</v>
      </c>
      <c r="Y51" s="19" t="s">
        <v>4</v>
      </c>
    </row>
    <row r="52" spans="1:25" x14ac:dyDescent="0.3">
      <c r="A52" s="14" t="s">
        <v>155</v>
      </c>
      <c r="B52" s="15" t="s">
        <v>156</v>
      </c>
      <c r="C52" s="15" t="s">
        <v>157</v>
      </c>
      <c r="D52" s="15" t="s">
        <v>158</v>
      </c>
      <c r="E52" s="15" t="str">
        <f t="shared" si="0"/>
        <v>Average</v>
      </c>
      <c r="F52" s="15">
        <v>46</v>
      </c>
      <c r="G52" s="30">
        <f>H52/6000</f>
        <v>35.516333333333336</v>
      </c>
      <c r="H52" s="15">
        <v>213098</v>
      </c>
      <c r="I52" s="15" t="str">
        <f t="shared" si="1"/>
        <v>Clean</v>
      </c>
      <c r="J52" s="15" t="b">
        <v>0</v>
      </c>
      <c r="K52" s="15" t="str">
        <f t="shared" si="2"/>
        <v>Moderate</v>
      </c>
      <c r="L52" s="15">
        <v>0.59599999999999997</v>
      </c>
      <c r="M52" s="15" t="str">
        <f t="shared" si="3"/>
        <v>Low Energy</v>
      </c>
      <c r="N52" s="15">
        <v>0.2</v>
      </c>
      <c r="O52" s="15">
        <v>0</v>
      </c>
      <c r="P52" s="15">
        <v>-10.423999999999999</v>
      </c>
      <c r="Q52" s="15">
        <v>0</v>
      </c>
      <c r="R52" s="15">
        <v>3.0499999999999999E-2</v>
      </c>
      <c r="S52" s="15">
        <v>0.91</v>
      </c>
      <c r="T52" s="15">
        <v>1.83E-4</v>
      </c>
      <c r="U52" s="15">
        <v>8.8400000000000006E-2</v>
      </c>
      <c r="V52" s="15">
        <v>0.308</v>
      </c>
      <c r="W52" s="15">
        <v>107.893</v>
      </c>
      <c r="X52" s="15">
        <v>4</v>
      </c>
      <c r="Y52" s="16" t="s">
        <v>4</v>
      </c>
    </row>
    <row r="53" spans="1:25" x14ac:dyDescent="0.3">
      <c r="A53" s="17" t="s">
        <v>159</v>
      </c>
      <c r="B53" s="18" t="s">
        <v>160</v>
      </c>
      <c r="C53" s="18" t="s">
        <v>161</v>
      </c>
      <c r="D53" s="18" t="s">
        <v>162</v>
      </c>
      <c r="E53" s="18" t="str">
        <f t="shared" si="0"/>
        <v>Popular</v>
      </c>
      <c r="F53" s="18">
        <v>61</v>
      </c>
      <c r="G53" s="30">
        <f>H53/6000</f>
        <v>38.726666666666667</v>
      </c>
      <c r="H53" s="18">
        <v>232360</v>
      </c>
      <c r="I53" s="18" t="str">
        <f t="shared" si="1"/>
        <v>Clean</v>
      </c>
      <c r="J53" s="18" t="b">
        <v>0</v>
      </c>
      <c r="K53" s="18" t="str">
        <f t="shared" si="2"/>
        <v>Low</v>
      </c>
      <c r="L53" s="18">
        <v>0.373</v>
      </c>
      <c r="M53" s="18" t="str">
        <f t="shared" si="3"/>
        <v>High Energy</v>
      </c>
      <c r="N53" s="18">
        <v>0.91400000000000003</v>
      </c>
      <c r="O53" s="18">
        <v>0</v>
      </c>
      <c r="P53" s="18">
        <v>-4.1849999999999996</v>
      </c>
      <c r="Q53" s="18">
        <v>1</v>
      </c>
      <c r="R53" s="18">
        <v>5.6500000000000002E-2</v>
      </c>
      <c r="S53" s="18">
        <v>7.5999999999999998E-2</v>
      </c>
      <c r="T53" s="18">
        <v>0</v>
      </c>
      <c r="U53" s="18">
        <v>0.66900000000000004</v>
      </c>
      <c r="V53" s="18">
        <v>0.56000000000000005</v>
      </c>
      <c r="W53" s="18">
        <v>168.21</v>
      </c>
      <c r="X53" s="18">
        <v>4</v>
      </c>
      <c r="Y53" s="19" t="s">
        <v>4</v>
      </c>
    </row>
    <row r="54" spans="1:25" x14ac:dyDescent="0.3">
      <c r="A54" s="14" t="s">
        <v>163</v>
      </c>
      <c r="B54" s="15" t="s">
        <v>164</v>
      </c>
      <c r="C54" s="15" t="s">
        <v>165</v>
      </c>
      <c r="D54" s="15" t="s">
        <v>166</v>
      </c>
      <c r="E54" s="15" t="str">
        <f t="shared" si="0"/>
        <v>Popular</v>
      </c>
      <c r="F54" s="15">
        <v>60</v>
      </c>
      <c r="G54" s="30">
        <f>H54/6000</f>
        <v>40.186500000000002</v>
      </c>
      <c r="H54" s="15">
        <v>241119</v>
      </c>
      <c r="I54" s="15" t="str">
        <f t="shared" si="1"/>
        <v>Clean</v>
      </c>
      <c r="J54" s="15" t="b">
        <v>0</v>
      </c>
      <c r="K54" s="15" t="str">
        <f t="shared" si="2"/>
        <v>Moderate</v>
      </c>
      <c r="L54" s="15">
        <v>0.49399999999999999</v>
      </c>
      <c r="M54" s="15" t="str">
        <f t="shared" si="3"/>
        <v>Medium Energy</v>
      </c>
      <c r="N54" s="15">
        <v>0.65200000000000002</v>
      </c>
      <c r="O54" s="15">
        <v>6</v>
      </c>
      <c r="P54" s="15">
        <v>-5.8630000000000004</v>
      </c>
      <c r="Q54" s="15">
        <v>0</v>
      </c>
      <c r="R54" s="15">
        <v>3.1399999999999997E-2</v>
      </c>
      <c r="S54" s="15">
        <v>7.5399999999999995E-2</v>
      </c>
      <c r="T54" s="15">
        <v>2.5600000000000002E-3</v>
      </c>
      <c r="U54" s="15">
        <v>0.125</v>
      </c>
      <c r="V54" s="15">
        <v>0.29799999999999999</v>
      </c>
      <c r="W54" s="15">
        <v>137.018</v>
      </c>
      <c r="X54" s="15">
        <v>4</v>
      </c>
      <c r="Y54" s="16" t="s">
        <v>4</v>
      </c>
    </row>
    <row r="55" spans="1:25" x14ac:dyDescent="0.3">
      <c r="A55" s="17" t="s">
        <v>167</v>
      </c>
      <c r="B55" s="18" t="s">
        <v>168</v>
      </c>
      <c r="C55" s="18" t="s">
        <v>169</v>
      </c>
      <c r="D55" s="18" t="s">
        <v>170</v>
      </c>
      <c r="E55" s="18" t="str">
        <f t="shared" si="0"/>
        <v>Popular</v>
      </c>
      <c r="F55" s="18">
        <v>68</v>
      </c>
      <c r="G55" s="30">
        <f>H55/6000</f>
        <v>36.706499999999998</v>
      </c>
      <c r="H55" s="18">
        <v>220239</v>
      </c>
      <c r="I55" s="18" t="str">
        <f t="shared" si="1"/>
        <v>Clean</v>
      </c>
      <c r="J55" s="18" t="b">
        <v>0</v>
      </c>
      <c r="K55" s="18" t="str">
        <f t="shared" si="2"/>
        <v>Moderate</v>
      </c>
      <c r="L55" s="18">
        <v>0.44700000000000001</v>
      </c>
      <c r="M55" s="18" t="str">
        <f t="shared" si="3"/>
        <v>Low Energy</v>
      </c>
      <c r="N55" s="18">
        <v>0.39300000000000002</v>
      </c>
      <c r="O55" s="18">
        <v>5</v>
      </c>
      <c r="P55" s="18">
        <v>-8.65</v>
      </c>
      <c r="Q55" s="18">
        <v>1</v>
      </c>
      <c r="R55" s="18">
        <v>3.7999999999999999E-2</v>
      </c>
      <c r="S55" s="18">
        <v>0.78500000000000003</v>
      </c>
      <c r="T55" s="18">
        <v>0</v>
      </c>
      <c r="U55" s="18">
        <v>0.28000000000000003</v>
      </c>
      <c r="V55" s="18">
        <v>0.56399999999999995</v>
      </c>
      <c r="W55" s="18">
        <v>73.138999999999996</v>
      </c>
      <c r="X55" s="18">
        <v>3</v>
      </c>
      <c r="Y55" s="19" t="s">
        <v>4</v>
      </c>
    </row>
    <row r="56" spans="1:25" x14ac:dyDescent="0.3">
      <c r="A56" s="14" t="s">
        <v>171</v>
      </c>
      <c r="B56" s="15" t="s">
        <v>172</v>
      </c>
      <c r="C56" s="15" t="s">
        <v>173</v>
      </c>
      <c r="D56" s="15" t="s">
        <v>174</v>
      </c>
      <c r="E56" s="15" t="str">
        <f t="shared" si="0"/>
        <v>Average</v>
      </c>
      <c r="F56" s="15">
        <v>52</v>
      </c>
      <c r="G56" s="30">
        <f>H56/6000</f>
        <v>28.590499999999999</v>
      </c>
      <c r="H56" s="15">
        <v>171543</v>
      </c>
      <c r="I56" s="15" t="str">
        <f t="shared" si="1"/>
        <v>Clean</v>
      </c>
      <c r="J56" s="15" t="b">
        <v>0</v>
      </c>
      <c r="K56" s="15" t="str">
        <f t="shared" si="2"/>
        <v>Moderate</v>
      </c>
      <c r="L56" s="15">
        <v>0.57599999999999996</v>
      </c>
      <c r="M56" s="15" t="str">
        <f t="shared" si="3"/>
        <v>Low Energy</v>
      </c>
      <c r="N56" s="15">
        <v>0.33100000000000002</v>
      </c>
      <c r="O56" s="15">
        <v>6</v>
      </c>
      <c r="P56" s="15">
        <v>-9.3889999999999993</v>
      </c>
      <c r="Q56" s="15">
        <v>0</v>
      </c>
      <c r="R56" s="15">
        <v>3.0599999999999999E-2</v>
      </c>
      <c r="S56" s="15">
        <v>0.89400000000000002</v>
      </c>
      <c r="T56" s="20" t="s">
        <v>175</v>
      </c>
      <c r="U56" s="15">
        <v>0.129</v>
      </c>
      <c r="V56" s="15">
        <v>0.40699999999999997</v>
      </c>
      <c r="W56" s="15">
        <v>149.02000000000001</v>
      </c>
      <c r="X56" s="15">
        <v>4</v>
      </c>
      <c r="Y56" s="16" t="s">
        <v>4</v>
      </c>
    </row>
    <row r="57" spans="1:25" x14ac:dyDescent="0.3">
      <c r="A57" s="17" t="s">
        <v>176</v>
      </c>
      <c r="B57" s="18" t="s">
        <v>164</v>
      </c>
      <c r="C57" s="18" t="s">
        <v>165</v>
      </c>
      <c r="D57" s="18" t="s">
        <v>177</v>
      </c>
      <c r="E57" s="18" t="str">
        <f t="shared" si="0"/>
        <v>Popular</v>
      </c>
      <c r="F57" s="18">
        <v>62</v>
      </c>
      <c r="G57" s="30">
        <f>H57/6000</f>
        <v>47.810833333333335</v>
      </c>
      <c r="H57" s="18">
        <v>286865</v>
      </c>
      <c r="I57" s="18" t="str">
        <f t="shared" si="1"/>
        <v>Clean</v>
      </c>
      <c r="J57" s="18" t="b">
        <v>0</v>
      </c>
      <c r="K57" s="18" t="str">
        <f t="shared" si="2"/>
        <v>Moderate</v>
      </c>
      <c r="L57" s="18">
        <v>0.53600000000000003</v>
      </c>
      <c r="M57" s="18" t="str">
        <f t="shared" si="3"/>
        <v>High Energy</v>
      </c>
      <c r="N57" s="18">
        <v>0.89</v>
      </c>
      <c r="O57" s="18">
        <v>1</v>
      </c>
      <c r="P57" s="18">
        <v>-5.2220000000000004</v>
      </c>
      <c r="Q57" s="18">
        <v>1</v>
      </c>
      <c r="R57" s="18">
        <v>3.7499999999999999E-2</v>
      </c>
      <c r="S57" s="18">
        <v>7.8E-2</v>
      </c>
      <c r="T57" s="18">
        <v>2.0199999999999999E-2</v>
      </c>
      <c r="U57" s="18">
        <v>0.13100000000000001</v>
      </c>
      <c r="V57" s="18">
        <v>0.27300000000000002</v>
      </c>
      <c r="W57" s="18">
        <v>121.974</v>
      </c>
      <c r="X57" s="18">
        <v>4</v>
      </c>
      <c r="Y57" s="19" t="s">
        <v>4</v>
      </c>
    </row>
    <row r="58" spans="1:25" x14ac:dyDescent="0.3">
      <c r="A58" s="14" t="s">
        <v>178</v>
      </c>
      <c r="B58" s="15" t="s">
        <v>179</v>
      </c>
      <c r="C58" s="15" t="s">
        <v>180</v>
      </c>
      <c r="D58" s="15" t="s">
        <v>180</v>
      </c>
      <c r="E58" s="15" t="str">
        <f t="shared" si="0"/>
        <v>Average</v>
      </c>
      <c r="F58" s="15">
        <v>51</v>
      </c>
      <c r="G58" s="30">
        <f>H58/6000</f>
        <v>39.078833333333336</v>
      </c>
      <c r="H58" s="15">
        <v>234473</v>
      </c>
      <c r="I58" s="15" t="str">
        <f t="shared" si="1"/>
        <v>Clean</v>
      </c>
      <c r="J58" s="15" t="b">
        <v>0</v>
      </c>
      <c r="K58" s="15" t="str">
        <f t="shared" si="2"/>
        <v>Moderate</v>
      </c>
      <c r="L58" s="15">
        <v>0.52600000000000002</v>
      </c>
      <c r="M58" s="15" t="str">
        <f t="shared" si="3"/>
        <v>Low Energy</v>
      </c>
      <c r="N58" s="15">
        <v>0.33300000000000002</v>
      </c>
      <c r="O58" s="15">
        <v>4</v>
      </c>
      <c r="P58" s="15">
        <v>-13.02</v>
      </c>
      <c r="Q58" s="15">
        <v>1</v>
      </c>
      <c r="R58" s="15">
        <v>3.1399999999999997E-2</v>
      </c>
      <c r="S58" s="15">
        <v>0.91</v>
      </c>
      <c r="T58" s="15">
        <v>0.16800000000000001</v>
      </c>
      <c r="U58" s="15">
        <v>0.111</v>
      </c>
      <c r="V58" s="15">
        <v>0.159</v>
      </c>
      <c r="W58" s="15">
        <v>94.950999999999993</v>
      </c>
      <c r="X58" s="15">
        <v>4</v>
      </c>
      <c r="Y58" s="16" t="s">
        <v>4</v>
      </c>
    </row>
    <row r="59" spans="1:25" x14ac:dyDescent="0.3">
      <c r="A59" s="17" t="s">
        <v>181</v>
      </c>
      <c r="B59" s="18" t="s">
        <v>19</v>
      </c>
      <c r="C59" s="18" t="s">
        <v>182</v>
      </c>
      <c r="D59" s="18" t="s">
        <v>182</v>
      </c>
      <c r="E59" s="18" t="str">
        <f t="shared" si="0"/>
        <v>Low</v>
      </c>
      <c r="F59" s="18">
        <v>0</v>
      </c>
      <c r="G59" s="30">
        <f>H59/6000</f>
        <v>36</v>
      </c>
      <c r="H59" s="18">
        <v>216000</v>
      </c>
      <c r="I59" s="18" t="str">
        <f t="shared" si="1"/>
        <v>Clean</v>
      </c>
      <c r="J59" s="18" t="b">
        <v>0</v>
      </c>
      <c r="K59" s="18" t="str">
        <f t="shared" si="2"/>
        <v>Moderate</v>
      </c>
      <c r="L59" s="18">
        <v>0.501</v>
      </c>
      <c r="M59" s="18" t="str">
        <f t="shared" si="3"/>
        <v>Low Energy</v>
      </c>
      <c r="N59" s="18">
        <v>0.38100000000000001</v>
      </c>
      <c r="O59" s="18">
        <v>0</v>
      </c>
      <c r="P59" s="18">
        <v>-9.4480000000000004</v>
      </c>
      <c r="Q59" s="18">
        <v>1</v>
      </c>
      <c r="R59" s="18">
        <v>3.5999999999999997E-2</v>
      </c>
      <c r="S59" s="18">
        <v>0.68700000000000006</v>
      </c>
      <c r="T59" s="18">
        <v>1.33E-3</v>
      </c>
      <c r="U59" s="18">
        <v>0.11899999999999999</v>
      </c>
      <c r="V59" s="18">
        <v>0.502</v>
      </c>
      <c r="W59" s="18">
        <v>80.075000000000003</v>
      </c>
      <c r="X59" s="18">
        <v>4</v>
      </c>
      <c r="Y59" s="19" t="s">
        <v>4</v>
      </c>
    </row>
    <row r="60" spans="1:25" x14ac:dyDescent="0.3">
      <c r="A60" s="14" t="s">
        <v>183</v>
      </c>
      <c r="B60" s="15" t="s">
        <v>184</v>
      </c>
      <c r="C60" s="15" t="s">
        <v>185</v>
      </c>
      <c r="D60" s="15" t="s">
        <v>186</v>
      </c>
      <c r="E60" s="15" t="str">
        <f t="shared" si="0"/>
        <v>Popular</v>
      </c>
      <c r="F60" s="15">
        <v>67</v>
      </c>
      <c r="G60" s="30">
        <f>H60/6000</f>
        <v>38.793333333333337</v>
      </c>
      <c r="H60" s="15">
        <v>232760</v>
      </c>
      <c r="I60" s="15" t="str">
        <f t="shared" si="1"/>
        <v>Clean</v>
      </c>
      <c r="J60" s="15" t="b">
        <v>0</v>
      </c>
      <c r="K60" s="15" t="str">
        <f t="shared" si="2"/>
        <v>Low</v>
      </c>
      <c r="L60" s="15">
        <v>0.27</v>
      </c>
      <c r="M60" s="15" t="str">
        <f t="shared" si="3"/>
        <v>Low Energy</v>
      </c>
      <c r="N60" s="15">
        <v>0.27500000000000002</v>
      </c>
      <c r="O60" s="15">
        <v>0</v>
      </c>
      <c r="P60" s="15">
        <v>-10.356999999999999</v>
      </c>
      <c r="Q60" s="15">
        <v>1</v>
      </c>
      <c r="R60" s="15">
        <v>3.56E-2</v>
      </c>
      <c r="S60" s="15">
        <v>0.83399999999999996</v>
      </c>
      <c r="T60" s="15">
        <v>0</v>
      </c>
      <c r="U60" s="15">
        <v>0.14599999999999999</v>
      </c>
      <c r="V60" s="15">
        <v>0.23100000000000001</v>
      </c>
      <c r="W60" s="15">
        <v>168.964</v>
      </c>
      <c r="X60" s="15">
        <v>4</v>
      </c>
      <c r="Y60" s="16" t="s">
        <v>4</v>
      </c>
    </row>
    <row r="61" spans="1:25" x14ac:dyDescent="0.3">
      <c r="A61" s="17" t="s">
        <v>187</v>
      </c>
      <c r="B61" s="18" t="s">
        <v>19</v>
      </c>
      <c r="C61" s="18" t="s">
        <v>188</v>
      </c>
      <c r="D61" s="18" t="s">
        <v>188</v>
      </c>
      <c r="E61" s="18" t="str">
        <f t="shared" si="0"/>
        <v>Average</v>
      </c>
      <c r="F61" s="18">
        <v>57</v>
      </c>
      <c r="G61" s="30">
        <f>H61/6000</f>
        <v>29.766666666666666</v>
      </c>
      <c r="H61" s="18">
        <v>178600</v>
      </c>
      <c r="I61" s="18" t="str">
        <f t="shared" si="1"/>
        <v>Clean</v>
      </c>
      <c r="J61" s="18" t="b">
        <v>1</v>
      </c>
      <c r="K61" s="18" t="str">
        <f t="shared" si="2"/>
        <v>Very Danceable</v>
      </c>
      <c r="L61" s="18">
        <v>0.73099999999999998</v>
      </c>
      <c r="M61" s="18" t="str">
        <f t="shared" si="3"/>
        <v>Medium Energy</v>
      </c>
      <c r="N61" s="18">
        <v>0.50700000000000001</v>
      </c>
      <c r="O61" s="18">
        <v>0</v>
      </c>
      <c r="P61" s="18">
        <v>-6.4770000000000003</v>
      </c>
      <c r="Q61" s="18">
        <v>1</v>
      </c>
      <c r="R61" s="18">
        <v>4.5999999999999999E-2</v>
      </c>
      <c r="S61" s="18">
        <v>0.57199999999999995</v>
      </c>
      <c r="T61" s="18">
        <v>0</v>
      </c>
      <c r="U61" s="18">
        <v>9.1200000000000003E-2</v>
      </c>
      <c r="V61" s="18">
        <v>0.26500000000000001</v>
      </c>
      <c r="W61" s="18">
        <v>117.96899999999999</v>
      </c>
      <c r="X61" s="18">
        <v>4</v>
      </c>
      <c r="Y61" s="19" t="s">
        <v>4</v>
      </c>
    </row>
    <row r="62" spans="1:25" x14ac:dyDescent="0.3">
      <c r="A62" s="14" t="s">
        <v>189</v>
      </c>
      <c r="B62" s="15" t="s">
        <v>40</v>
      </c>
      <c r="C62" s="15" t="s">
        <v>190</v>
      </c>
      <c r="D62" s="15" t="s">
        <v>190</v>
      </c>
      <c r="E62" s="15" t="str">
        <f t="shared" si="0"/>
        <v>Popular</v>
      </c>
      <c r="F62" s="15">
        <v>75</v>
      </c>
      <c r="G62" s="30">
        <f>H62/6000</f>
        <v>42.4</v>
      </c>
      <c r="H62" s="15">
        <v>254400</v>
      </c>
      <c r="I62" s="15" t="str">
        <f t="shared" si="1"/>
        <v>Clean</v>
      </c>
      <c r="J62" s="15" t="b">
        <v>0</v>
      </c>
      <c r="K62" s="15" t="str">
        <f t="shared" si="2"/>
        <v>Low</v>
      </c>
      <c r="L62" s="15">
        <v>0.375</v>
      </c>
      <c r="M62" s="15" t="str">
        <f t="shared" si="3"/>
        <v>Medium Energy</v>
      </c>
      <c r="N62" s="15">
        <v>0.45700000000000002</v>
      </c>
      <c r="O62" s="15">
        <v>3</v>
      </c>
      <c r="P62" s="15">
        <v>-7.0179999999999998</v>
      </c>
      <c r="Q62" s="15">
        <v>1</v>
      </c>
      <c r="R62" s="15">
        <v>3.15E-2</v>
      </c>
      <c r="S62" s="15">
        <v>0.86799999999999999</v>
      </c>
      <c r="T62" s="15">
        <v>1.4500000000000001E-2</v>
      </c>
      <c r="U62" s="15">
        <v>0.191</v>
      </c>
      <c r="V62" s="15">
        <v>0.41499999999999998</v>
      </c>
      <c r="W62" s="15">
        <v>174.839</v>
      </c>
      <c r="X62" s="15">
        <v>3</v>
      </c>
      <c r="Y62" s="16" t="s">
        <v>4</v>
      </c>
    </row>
    <row r="63" spans="1:25" x14ac:dyDescent="0.3">
      <c r="A63" s="17" t="s">
        <v>191</v>
      </c>
      <c r="B63" s="18" t="s">
        <v>164</v>
      </c>
      <c r="C63" s="18" t="s">
        <v>192</v>
      </c>
      <c r="D63" s="18" t="s">
        <v>193</v>
      </c>
      <c r="E63" s="18" t="str">
        <f t="shared" si="0"/>
        <v>Popular</v>
      </c>
      <c r="F63" s="18">
        <v>62</v>
      </c>
      <c r="G63" s="30">
        <f>H63/6000</f>
        <v>40.72</v>
      </c>
      <c r="H63" s="18">
        <v>244320</v>
      </c>
      <c r="I63" s="18" t="str">
        <f t="shared" si="1"/>
        <v>Clean</v>
      </c>
      <c r="J63" s="18" t="b">
        <v>0</v>
      </c>
      <c r="K63" s="18" t="str">
        <f t="shared" si="2"/>
        <v>Moderate</v>
      </c>
      <c r="L63" s="18">
        <v>0.43</v>
      </c>
      <c r="M63" s="18" t="str">
        <f t="shared" si="3"/>
        <v>High Energy</v>
      </c>
      <c r="N63" s="18">
        <v>0.79100000000000004</v>
      </c>
      <c r="O63" s="18">
        <v>6</v>
      </c>
      <c r="P63" s="18">
        <v>-5.4189999999999996</v>
      </c>
      <c r="Q63" s="18">
        <v>0</v>
      </c>
      <c r="R63" s="18">
        <v>3.0200000000000001E-2</v>
      </c>
      <c r="S63" s="18">
        <v>7.2599999999999998E-2</v>
      </c>
      <c r="T63" s="18">
        <v>1.9300000000000001E-2</v>
      </c>
      <c r="U63" s="18">
        <v>0.11</v>
      </c>
      <c r="V63" s="18">
        <v>0.217</v>
      </c>
      <c r="W63" s="18">
        <v>171.864</v>
      </c>
      <c r="X63" s="18">
        <v>4</v>
      </c>
      <c r="Y63" s="19" t="s">
        <v>4</v>
      </c>
    </row>
    <row r="64" spans="1:25" x14ac:dyDescent="0.3">
      <c r="A64" s="14" t="s">
        <v>194</v>
      </c>
      <c r="B64" s="15" t="s">
        <v>195</v>
      </c>
      <c r="C64" s="15" t="s">
        <v>196</v>
      </c>
      <c r="D64" s="15" t="s">
        <v>197</v>
      </c>
      <c r="E64" s="15" t="str">
        <f t="shared" si="0"/>
        <v>Popular</v>
      </c>
      <c r="F64" s="15">
        <v>66</v>
      </c>
      <c r="G64" s="30">
        <f>H64/6000</f>
        <v>20.822166666666668</v>
      </c>
      <c r="H64" s="15">
        <v>124933</v>
      </c>
      <c r="I64" s="15" t="str">
        <f t="shared" si="1"/>
        <v>Clean</v>
      </c>
      <c r="J64" s="15" t="b">
        <v>0</v>
      </c>
      <c r="K64" s="15" t="str">
        <f t="shared" si="2"/>
        <v>Moderate</v>
      </c>
      <c r="L64" s="15">
        <v>0.61599999999999999</v>
      </c>
      <c r="M64" s="15" t="str">
        <f t="shared" si="3"/>
        <v>Low Energy</v>
      </c>
      <c r="N64" s="15">
        <v>0.28199999999999997</v>
      </c>
      <c r="O64" s="15">
        <v>1</v>
      </c>
      <c r="P64" s="15">
        <v>-15.317</v>
      </c>
      <c r="Q64" s="15">
        <v>1</v>
      </c>
      <c r="R64" s="15">
        <v>3.3099999999999997E-2</v>
      </c>
      <c r="S64" s="15">
        <v>0.98299999999999998</v>
      </c>
      <c r="T64" s="15">
        <v>0.83299999999999996</v>
      </c>
      <c r="U64" s="15">
        <v>0.13</v>
      </c>
      <c r="V64" s="15">
        <v>0.435</v>
      </c>
      <c r="W64" s="15">
        <v>96.638000000000005</v>
      </c>
      <c r="X64" s="15">
        <v>4</v>
      </c>
      <c r="Y64" s="16" t="s">
        <v>4</v>
      </c>
    </row>
    <row r="65" spans="1:25" x14ac:dyDescent="0.3">
      <c r="A65" s="17" t="s">
        <v>198</v>
      </c>
      <c r="B65" s="18" t="s">
        <v>71</v>
      </c>
      <c r="C65" s="18" t="s">
        <v>77</v>
      </c>
      <c r="D65" s="18" t="s">
        <v>199</v>
      </c>
      <c r="E65" s="18" t="str">
        <f t="shared" si="0"/>
        <v>Popular</v>
      </c>
      <c r="F65" s="18">
        <v>64</v>
      </c>
      <c r="G65" s="30">
        <f>H65/6000</f>
        <v>37.024333333333331</v>
      </c>
      <c r="H65" s="18">
        <v>222146</v>
      </c>
      <c r="I65" s="18" t="str">
        <f t="shared" si="1"/>
        <v>Clean</v>
      </c>
      <c r="J65" s="18" t="b">
        <v>0</v>
      </c>
      <c r="K65" s="18" t="str">
        <f t="shared" si="2"/>
        <v>Very Danceable</v>
      </c>
      <c r="L65" s="18">
        <v>0.70499999999999996</v>
      </c>
      <c r="M65" s="18" t="str">
        <f t="shared" si="3"/>
        <v>Low Energy</v>
      </c>
      <c r="N65" s="18">
        <v>0.34699999999999998</v>
      </c>
      <c r="O65" s="18">
        <v>2</v>
      </c>
      <c r="P65" s="18">
        <v>-8.2490000000000006</v>
      </c>
      <c r="Q65" s="18">
        <v>1</v>
      </c>
      <c r="R65" s="18">
        <v>3.0099999999999998E-2</v>
      </c>
      <c r="S65" s="18">
        <v>0.67400000000000004</v>
      </c>
      <c r="T65" s="18">
        <v>0</v>
      </c>
      <c r="U65" s="18">
        <v>0.12</v>
      </c>
      <c r="V65" s="18">
        <v>0.36</v>
      </c>
      <c r="W65" s="18">
        <v>80.057000000000002</v>
      </c>
      <c r="X65" s="18">
        <v>4</v>
      </c>
      <c r="Y65" s="19" t="s">
        <v>4</v>
      </c>
    </row>
    <row r="66" spans="1:25" x14ac:dyDescent="0.3">
      <c r="A66" s="14" t="s">
        <v>200</v>
      </c>
      <c r="B66" s="15" t="s">
        <v>201</v>
      </c>
      <c r="C66" s="15" t="s">
        <v>202</v>
      </c>
      <c r="D66" s="15" t="s">
        <v>203</v>
      </c>
      <c r="E66" s="15" t="str">
        <f t="shared" ref="E66:E129" si="4">IF( F66&gt;=80,"Hit",
IF(F66&gt;=60,"Popular",
IF( F66&gt;=40,"Average","Low")))</f>
        <v>Popular</v>
      </c>
      <c r="F66" s="15">
        <v>62</v>
      </c>
      <c r="G66" s="30">
        <f t="shared" ref="G66:G129" si="5">H66/6000</f>
        <v>30.308666666666667</v>
      </c>
      <c r="H66" s="15">
        <v>181852</v>
      </c>
      <c r="I66" s="15" t="str">
        <f t="shared" ref="I66:I129" si="6">IF(E66=TRUE,"Explicit","Clean")</f>
        <v>Clean</v>
      </c>
      <c r="J66" s="15" t="b">
        <v>0</v>
      </c>
      <c r="K66" s="15" t="str">
        <f t="shared" ref="K66:K129" si="7">IF(L66&gt;=0.7,"Very Danceable",
IF( L66&gt;=0.4,"Moderate","Low"))</f>
        <v>Moderate</v>
      </c>
      <c r="L66" s="15">
        <v>0.58199999999999996</v>
      </c>
      <c r="M66" s="15" t="str">
        <f t="shared" ref="M66:M129" si="8">IF( N66&gt;=0.7,"High Energy",
IF( N66&gt;=0.4,"Medium Energy","Low Energy"))</f>
        <v>Low Energy</v>
      </c>
      <c r="N66" s="15">
        <v>0.255</v>
      </c>
      <c r="O66" s="15">
        <v>4</v>
      </c>
      <c r="P66" s="15">
        <v>-10.254</v>
      </c>
      <c r="Q66" s="15">
        <v>1</v>
      </c>
      <c r="R66" s="15">
        <v>3.0599999999999999E-2</v>
      </c>
      <c r="S66" s="15">
        <v>0.77200000000000002</v>
      </c>
      <c r="T66" s="15">
        <v>0</v>
      </c>
      <c r="U66" s="15">
        <v>8.8900000000000007E-2</v>
      </c>
      <c r="V66" s="15">
        <v>0.28499999999999998</v>
      </c>
      <c r="W66" s="15">
        <v>139.88399999999999</v>
      </c>
      <c r="X66" s="15">
        <v>4</v>
      </c>
      <c r="Y66" s="16" t="s">
        <v>4</v>
      </c>
    </row>
    <row r="67" spans="1:25" x14ac:dyDescent="0.3">
      <c r="A67" s="17" t="s">
        <v>204</v>
      </c>
      <c r="B67" s="18" t="s">
        <v>205</v>
      </c>
      <c r="C67" s="18" t="s">
        <v>206</v>
      </c>
      <c r="D67" s="18" t="s">
        <v>207</v>
      </c>
      <c r="E67" s="18" t="str">
        <f t="shared" si="4"/>
        <v>Average</v>
      </c>
      <c r="F67" s="18">
        <v>58</v>
      </c>
      <c r="G67" s="30">
        <f t="shared" si="5"/>
        <v>31.097333333333335</v>
      </c>
      <c r="H67" s="18">
        <v>186584</v>
      </c>
      <c r="I67" s="18" t="str">
        <f t="shared" si="6"/>
        <v>Clean</v>
      </c>
      <c r="J67" s="18" t="b">
        <v>0</v>
      </c>
      <c r="K67" s="18" t="str">
        <f t="shared" si="7"/>
        <v>Moderate</v>
      </c>
      <c r="L67" s="18">
        <v>0.54900000000000004</v>
      </c>
      <c r="M67" s="18" t="str">
        <f t="shared" si="8"/>
        <v>Low Energy</v>
      </c>
      <c r="N67" s="18">
        <v>0.27400000000000002</v>
      </c>
      <c r="O67" s="18">
        <v>1</v>
      </c>
      <c r="P67" s="18">
        <v>-12.565</v>
      </c>
      <c r="Q67" s="18">
        <v>1</v>
      </c>
      <c r="R67" s="18">
        <v>3.7900000000000003E-2</v>
      </c>
      <c r="S67" s="18">
        <v>0.79800000000000004</v>
      </c>
      <c r="T67" s="21" t="s">
        <v>208</v>
      </c>
      <c r="U67" s="18">
        <v>0.10299999999999999</v>
      </c>
      <c r="V67" s="18">
        <v>0.20699999999999999</v>
      </c>
      <c r="W67" s="18">
        <v>86.664000000000001</v>
      </c>
      <c r="X67" s="18">
        <v>4</v>
      </c>
      <c r="Y67" s="19" t="s">
        <v>4</v>
      </c>
    </row>
    <row r="68" spans="1:25" x14ac:dyDescent="0.3">
      <c r="A68" s="14" t="s">
        <v>209</v>
      </c>
      <c r="B68" s="15" t="s">
        <v>210</v>
      </c>
      <c r="C68" s="15" t="s">
        <v>211</v>
      </c>
      <c r="D68" s="15" t="s">
        <v>211</v>
      </c>
      <c r="E68" s="15" t="str">
        <f t="shared" si="4"/>
        <v>Popular</v>
      </c>
      <c r="F68" s="15">
        <v>65</v>
      </c>
      <c r="G68" s="30">
        <f t="shared" si="5"/>
        <v>26.6</v>
      </c>
      <c r="H68" s="15">
        <v>159600</v>
      </c>
      <c r="I68" s="15" t="str">
        <f t="shared" si="6"/>
        <v>Clean</v>
      </c>
      <c r="J68" s="15" t="b">
        <v>0</v>
      </c>
      <c r="K68" s="15" t="str">
        <f t="shared" si="7"/>
        <v>Very Danceable</v>
      </c>
      <c r="L68" s="15">
        <v>0.78700000000000003</v>
      </c>
      <c r="M68" s="15" t="str">
        <f t="shared" si="8"/>
        <v>Low Energy</v>
      </c>
      <c r="N68" s="15">
        <v>0.35499999999999998</v>
      </c>
      <c r="O68" s="15">
        <v>0</v>
      </c>
      <c r="P68" s="15">
        <v>-11.429</v>
      </c>
      <c r="Q68" s="15">
        <v>1</v>
      </c>
      <c r="R68" s="15">
        <v>2.8799999999999999E-2</v>
      </c>
      <c r="S68" s="15">
        <v>0.89600000000000002</v>
      </c>
      <c r="T68" s="15">
        <v>2.01E-2</v>
      </c>
      <c r="U68" s="15">
        <v>0.111</v>
      </c>
      <c r="V68" s="15">
        <v>0.48</v>
      </c>
      <c r="W68" s="15">
        <v>99.977999999999994</v>
      </c>
      <c r="X68" s="15">
        <v>4</v>
      </c>
      <c r="Y68" s="16" t="s">
        <v>4</v>
      </c>
    </row>
    <row r="69" spans="1:25" x14ac:dyDescent="0.3">
      <c r="A69" s="17" t="s">
        <v>212</v>
      </c>
      <c r="B69" s="18" t="s">
        <v>184</v>
      </c>
      <c r="C69" s="18" t="s">
        <v>213</v>
      </c>
      <c r="D69" s="18" t="s">
        <v>214</v>
      </c>
      <c r="E69" s="18" t="str">
        <f t="shared" si="4"/>
        <v>Popular</v>
      </c>
      <c r="F69" s="18">
        <v>67</v>
      </c>
      <c r="G69" s="30">
        <f t="shared" si="5"/>
        <v>41.710999999999999</v>
      </c>
      <c r="H69" s="18">
        <v>250266</v>
      </c>
      <c r="I69" s="18" t="str">
        <f t="shared" si="6"/>
        <v>Clean</v>
      </c>
      <c r="J69" s="18" t="b">
        <v>0</v>
      </c>
      <c r="K69" s="18" t="str">
        <f t="shared" si="7"/>
        <v>Low</v>
      </c>
      <c r="L69" s="18">
        <v>0.39700000000000002</v>
      </c>
      <c r="M69" s="18" t="str">
        <f t="shared" si="8"/>
        <v>Low Energy</v>
      </c>
      <c r="N69" s="18">
        <v>0.30299999999999999</v>
      </c>
      <c r="O69" s="18">
        <v>5</v>
      </c>
      <c r="P69" s="18">
        <v>-7.508</v>
      </c>
      <c r="Q69" s="18">
        <v>1</v>
      </c>
      <c r="R69" s="18">
        <v>4.3499999999999997E-2</v>
      </c>
      <c r="S69" s="18">
        <v>0.38100000000000001</v>
      </c>
      <c r="T69" s="18">
        <v>0</v>
      </c>
      <c r="U69" s="18">
        <v>0.10100000000000001</v>
      </c>
      <c r="V69" s="18">
        <v>0.17199999999999999</v>
      </c>
      <c r="W69" s="18">
        <v>81.05</v>
      </c>
      <c r="X69" s="18">
        <v>4</v>
      </c>
      <c r="Y69" s="19" t="s">
        <v>4</v>
      </c>
    </row>
    <row r="70" spans="1:25" x14ac:dyDescent="0.3">
      <c r="A70" s="14" t="s">
        <v>215</v>
      </c>
      <c r="B70" s="15" t="s">
        <v>164</v>
      </c>
      <c r="C70" s="15" t="s">
        <v>216</v>
      </c>
      <c r="D70" s="15" t="s">
        <v>217</v>
      </c>
      <c r="E70" s="15" t="str">
        <f t="shared" si="4"/>
        <v>Popular</v>
      </c>
      <c r="F70" s="15">
        <v>65</v>
      </c>
      <c r="G70" s="30">
        <f t="shared" si="5"/>
        <v>53.151333333333334</v>
      </c>
      <c r="H70" s="15">
        <v>318908</v>
      </c>
      <c r="I70" s="15" t="str">
        <f t="shared" si="6"/>
        <v>Clean</v>
      </c>
      <c r="J70" s="15" t="b">
        <v>0</v>
      </c>
      <c r="K70" s="15" t="str">
        <f t="shared" si="7"/>
        <v>Moderate</v>
      </c>
      <c r="L70" s="15">
        <v>0.54800000000000004</v>
      </c>
      <c r="M70" s="15" t="str">
        <f t="shared" si="8"/>
        <v>Medium Energy</v>
      </c>
      <c r="N70" s="15">
        <v>0.42</v>
      </c>
      <c r="O70" s="15">
        <v>0</v>
      </c>
      <c r="P70" s="15">
        <v>-7.8419999999999996</v>
      </c>
      <c r="Q70" s="15">
        <v>1</v>
      </c>
      <c r="R70" s="15">
        <v>2.7699999999999999E-2</v>
      </c>
      <c r="S70" s="15">
        <v>0.19800000000000001</v>
      </c>
      <c r="T70" s="20" t="s">
        <v>218</v>
      </c>
      <c r="U70" s="15">
        <v>8.9899999999999994E-2</v>
      </c>
      <c r="V70" s="15">
        <v>0.19600000000000001</v>
      </c>
      <c r="W70" s="15">
        <v>128.012</v>
      </c>
      <c r="X70" s="15">
        <v>4</v>
      </c>
      <c r="Y70" s="16" t="s">
        <v>4</v>
      </c>
    </row>
    <row r="71" spans="1:25" x14ac:dyDescent="0.3">
      <c r="A71" s="17" t="s">
        <v>219</v>
      </c>
      <c r="B71" s="18" t="s">
        <v>220</v>
      </c>
      <c r="C71" s="18" t="s">
        <v>221</v>
      </c>
      <c r="D71" s="18" t="s">
        <v>222</v>
      </c>
      <c r="E71" s="18" t="str">
        <f t="shared" si="4"/>
        <v>Average</v>
      </c>
      <c r="F71" s="18">
        <v>44</v>
      </c>
      <c r="G71" s="30">
        <f t="shared" si="5"/>
        <v>37.058500000000002</v>
      </c>
      <c r="H71" s="18">
        <v>222351</v>
      </c>
      <c r="I71" s="18" t="str">
        <f t="shared" si="6"/>
        <v>Clean</v>
      </c>
      <c r="J71" s="18" t="b">
        <v>0</v>
      </c>
      <c r="K71" s="18" t="str">
        <f t="shared" si="7"/>
        <v>Very Danceable</v>
      </c>
      <c r="L71" s="18">
        <v>0.78700000000000003</v>
      </c>
      <c r="M71" s="18" t="str">
        <f t="shared" si="8"/>
        <v>Medium Energy</v>
      </c>
      <c r="N71" s="18">
        <v>0.40300000000000002</v>
      </c>
      <c r="O71" s="18">
        <v>0</v>
      </c>
      <c r="P71" s="18">
        <v>-11.989000000000001</v>
      </c>
      <c r="Q71" s="18">
        <v>1</v>
      </c>
      <c r="R71" s="18">
        <v>3.3000000000000002E-2</v>
      </c>
      <c r="S71" s="18">
        <v>0.60299999999999998</v>
      </c>
      <c r="T71" s="18">
        <v>8.5699999999999995E-3</v>
      </c>
      <c r="U71" s="18">
        <v>0.13100000000000001</v>
      </c>
      <c r="V71" s="18">
        <v>0.26400000000000001</v>
      </c>
      <c r="W71" s="18">
        <v>118.042</v>
      </c>
      <c r="X71" s="18">
        <v>4</v>
      </c>
      <c r="Y71" s="19" t="s">
        <v>4</v>
      </c>
    </row>
    <row r="72" spans="1:25" x14ac:dyDescent="0.3">
      <c r="A72" s="14" t="s">
        <v>223</v>
      </c>
      <c r="B72" s="15" t="s">
        <v>168</v>
      </c>
      <c r="C72" s="15" t="s">
        <v>224</v>
      </c>
      <c r="D72" s="15" t="s">
        <v>225</v>
      </c>
      <c r="E72" s="15" t="str">
        <f t="shared" si="4"/>
        <v>Average</v>
      </c>
      <c r="F72" s="15">
        <v>55</v>
      </c>
      <c r="G72" s="30">
        <f t="shared" si="5"/>
        <v>36.58</v>
      </c>
      <c r="H72" s="15">
        <v>219480</v>
      </c>
      <c r="I72" s="15" t="str">
        <f t="shared" si="6"/>
        <v>Clean</v>
      </c>
      <c r="J72" s="15" t="b">
        <v>0</v>
      </c>
      <c r="K72" s="15" t="str">
        <f t="shared" si="7"/>
        <v>Moderate</v>
      </c>
      <c r="L72" s="15">
        <v>0.48399999999999999</v>
      </c>
      <c r="M72" s="15" t="str">
        <f t="shared" si="8"/>
        <v>Medium Energy</v>
      </c>
      <c r="N72" s="15">
        <v>0.57299999999999995</v>
      </c>
      <c r="O72" s="15">
        <v>5</v>
      </c>
      <c r="P72" s="15">
        <v>-6.1829999999999998</v>
      </c>
      <c r="Q72" s="15">
        <v>1</v>
      </c>
      <c r="R72" s="15">
        <v>2.98E-2</v>
      </c>
      <c r="S72" s="15">
        <v>8.8200000000000001E-2</v>
      </c>
      <c r="T72" s="20" t="s">
        <v>226</v>
      </c>
      <c r="U72" s="15">
        <v>0.15</v>
      </c>
      <c r="V72" s="15">
        <v>0.34599999999999997</v>
      </c>
      <c r="W72" s="15">
        <v>139.96600000000001</v>
      </c>
      <c r="X72" s="15">
        <v>3</v>
      </c>
      <c r="Y72" s="16" t="s">
        <v>4</v>
      </c>
    </row>
    <row r="73" spans="1:25" x14ac:dyDescent="0.3">
      <c r="A73" s="17" t="s">
        <v>227</v>
      </c>
      <c r="B73" s="18" t="s">
        <v>228</v>
      </c>
      <c r="C73" s="18" t="s">
        <v>229</v>
      </c>
      <c r="D73" s="18" t="s">
        <v>230</v>
      </c>
      <c r="E73" s="18" t="str">
        <f t="shared" si="4"/>
        <v>Popular</v>
      </c>
      <c r="F73" s="18">
        <v>70</v>
      </c>
      <c r="G73" s="30">
        <f t="shared" si="5"/>
        <v>36.948833333333333</v>
      </c>
      <c r="H73" s="18">
        <v>221693</v>
      </c>
      <c r="I73" s="18" t="str">
        <f t="shared" si="6"/>
        <v>Clean</v>
      </c>
      <c r="J73" s="18" t="b">
        <v>0</v>
      </c>
      <c r="K73" s="18" t="str">
        <f t="shared" si="7"/>
        <v>Low</v>
      </c>
      <c r="L73" s="18">
        <v>0.38200000000000001</v>
      </c>
      <c r="M73" s="18" t="str">
        <f t="shared" si="8"/>
        <v>Medium Energy</v>
      </c>
      <c r="N73" s="18">
        <v>0.41599999999999998</v>
      </c>
      <c r="O73" s="18">
        <v>0</v>
      </c>
      <c r="P73" s="18">
        <v>-9.3030000000000008</v>
      </c>
      <c r="Q73" s="18">
        <v>1</v>
      </c>
      <c r="R73" s="18">
        <v>3.0200000000000001E-2</v>
      </c>
      <c r="S73" s="18">
        <v>7.3300000000000004E-2</v>
      </c>
      <c r="T73" s="18">
        <v>0</v>
      </c>
      <c r="U73" s="18">
        <v>7.1900000000000006E-2</v>
      </c>
      <c r="V73" s="18">
        <v>0.125</v>
      </c>
      <c r="W73" s="18">
        <v>102.089</v>
      </c>
      <c r="X73" s="18">
        <v>4</v>
      </c>
      <c r="Y73" s="19" t="s">
        <v>4</v>
      </c>
    </row>
    <row r="74" spans="1:25" x14ac:dyDescent="0.3">
      <c r="A74" s="14" t="s">
        <v>231</v>
      </c>
      <c r="B74" s="15" t="s">
        <v>164</v>
      </c>
      <c r="C74" s="15" t="s">
        <v>232</v>
      </c>
      <c r="D74" s="15" t="s">
        <v>233</v>
      </c>
      <c r="E74" s="15" t="str">
        <f t="shared" si="4"/>
        <v>Average</v>
      </c>
      <c r="F74" s="15">
        <v>57</v>
      </c>
      <c r="G74" s="30">
        <f t="shared" si="5"/>
        <v>59.06666666666667</v>
      </c>
      <c r="H74" s="15">
        <v>354400</v>
      </c>
      <c r="I74" s="15" t="str">
        <f t="shared" si="6"/>
        <v>Clean</v>
      </c>
      <c r="J74" s="15" t="b">
        <v>0</v>
      </c>
      <c r="K74" s="15" t="str">
        <f t="shared" si="7"/>
        <v>Moderate</v>
      </c>
      <c r="L74" s="15">
        <v>0.54100000000000004</v>
      </c>
      <c r="M74" s="15" t="str">
        <f t="shared" si="8"/>
        <v>Medium Energy</v>
      </c>
      <c r="N74" s="15">
        <v>0.57499999999999996</v>
      </c>
      <c r="O74" s="15">
        <v>9</v>
      </c>
      <c r="P74" s="15">
        <v>-9.4629999999999992</v>
      </c>
      <c r="Q74" s="15">
        <v>1</v>
      </c>
      <c r="R74" s="15">
        <v>4.9099999999999998E-2</v>
      </c>
      <c r="S74" s="15">
        <v>0.67700000000000005</v>
      </c>
      <c r="T74" s="15">
        <v>0.215</v>
      </c>
      <c r="U74" s="15">
        <v>0.10199999999999999</v>
      </c>
      <c r="V74" s="15">
        <v>0.42799999999999999</v>
      </c>
      <c r="W74" s="15">
        <v>91.98</v>
      </c>
      <c r="X74" s="15">
        <v>4</v>
      </c>
      <c r="Y74" s="16" t="s">
        <v>4</v>
      </c>
    </row>
    <row r="75" spans="1:25" x14ac:dyDescent="0.3">
      <c r="A75" s="17" t="s">
        <v>234</v>
      </c>
      <c r="B75" s="18" t="s">
        <v>235</v>
      </c>
      <c r="C75" s="18" t="s">
        <v>236</v>
      </c>
      <c r="D75" s="18" t="s">
        <v>236</v>
      </c>
      <c r="E75" s="18" t="str">
        <f t="shared" si="4"/>
        <v>Average</v>
      </c>
      <c r="F75" s="18">
        <v>56</v>
      </c>
      <c r="G75" s="30">
        <f t="shared" si="5"/>
        <v>29.583333333333332</v>
      </c>
      <c r="H75" s="18">
        <v>177500</v>
      </c>
      <c r="I75" s="18" t="str">
        <f t="shared" si="6"/>
        <v>Clean</v>
      </c>
      <c r="J75" s="18" t="b">
        <v>0</v>
      </c>
      <c r="K75" s="18" t="str">
        <f t="shared" si="7"/>
        <v>Moderate</v>
      </c>
      <c r="L75" s="18">
        <v>0.60699999999999998</v>
      </c>
      <c r="M75" s="18" t="str">
        <f t="shared" si="8"/>
        <v>Medium Energy</v>
      </c>
      <c r="N75" s="18">
        <v>0.47299999999999998</v>
      </c>
      <c r="O75" s="18">
        <v>2</v>
      </c>
      <c r="P75" s="18">
        <v>-8.5549999999999997</v>
      </c>
      <c r="Q75" s="18">
        <v>1</v>
      </c>
      <c r="R75" s="18">
        <v>3.4000000000000002E-2</v>
      </c>
      <c r="S75" s="18">
        <v>0.71199999999999997</v>
      </c>
      <c r="T75" s="18">
        <v>0</v>
      </c>
      <c r="U75" s="18">
        <v>0.66</v>
      </c>
      <c r="V75" s="18">
        <v>0.54</v>
      </c>
      <c r="W75" s="18">
        <v>119.69799999999999</v>
      </c>
      <c r="X75" s="18">
        <v>4</v>
      </c>
      <c r="Y75" s="19" t="s">
        <v>4</v>
      </c>
    </row>
    <row r="76" spans="1:25" x14ac:dyDescent="0.3">
      <c r="A76" s="14" t="s">
        <v>237</v>
      </c>
      <c r="B76" s="15" t="s">
        <v>238</v>
      </c>
      <c r="C76" s="15" t="s">
        <v>239</v>
      </c>
      <c r="D76" s="15" t="s">
        <v>240</v>
      </c>
      <c r="E76" s="15" t="str">
        <f t="shared" si="4"/>
        <v>Average</v>
      </c>
      <c r="F76" s="15">
        <v>56</v>
      </c>
      <c r="G76" s="30">
        <f t="shared" si="5"/>
        <v>41.306666666666665</v>
      </c>
      <c r="H76" s="15">
        <v>247840</v>
      </c>
      <c r="I76" s="15" t="str">
        <f t="shared" si="6"/>
        <v>Clean</v>
      </c>
      <c r="J76" s="15" t="b">
        <v>0</v>
      </c>
      <c r="K76" s="15" t="str">
        <f t="shared" si="7"/>
        <v>Moderate</v>
      </c>
      <c r="L76" s="15">
        <v>0.41699999999999998</v>
      </c>
      <c r="M76" s="15" t="str">
        <f t="shared" si="8"/>
        <v>Medium Energy</v>
      </c>
      <c r="N76" s="15">
        <v>0.59499999999999997</v>
      </c>
      <c r="O76" s="15">
        <v>6</v>
      </c>
      <c r="P76" s="15">
        <v>-7.84</v>
      </c>
      <c r="Q76" s="15">
        <v>1</v>
      </c>
      <c r="R76" s="15">
        <v>3.9600000000000003E-2</v>
      </c>
      <c r="S76" s="15">
        <v>0.158</v>
      </c>
      <c r="T76" s="15">
        <v>2.6899999999999998E-4</v>
      </c>
      <c r="U76" s="15">
        <v>0.10100000000000001</v>
      </c>
      <c r="V76" s="15">
        <v>0.11700000000000001</v>
      </c>
      <c r="W76" s="15">
        <v>147.928</v>
      </c>
      <c r="X76" s="15">
        <v>4</v>
      </c>
      <c r="Y76" s="16" t="s">
        <v>4</v>
      </c>
    </row>
    <row r="77" spans="1:25" x14ac:dyDescent="0.3">
      <c r="A77" s="17" t="s">
        <v>241</v>
      </c>
      <c r="B77" s="18" t="s">
        <v>30</v>
      </c>
      <c r="C77" s="18" t="s">
        <v>44</v>
      </c>
      <c r="D77" s="18" t="s">
        <v>83</v>
      </c>
      <c r="E77" s="18" t="str">
        <f t="shared" si="4"/>
        <v>Popular</v>
      </c>
      <c r="F77" s="18">
        <v>67</v>
      </c>
      <c r="G77" s="30">
        <f t="shared" si="5"/>
        <v>36.06433333333333</v>
      </c>
      <c r="H77" s="18">
        <v>216386</v>
      </c>
      <c r="I77" s="18" t="str">
        <f t="shared" si="6"/>
        <v>Clean</v>
      </c>
      <c r="J77" s="18" t="b">
        <v>0</v>
      </c>
      <c r="K77" s="18" t="str">
        <f t="shared" si="7"/>
        <v>Moderate</v>
      </c>
      <c r="L77" s="18">
        <v>0.57199999999999995</v>
      </c>
      <c r="M77" s="18" t="str">
        <f t="shared" si="8"/>
        <v>Medium Energy</v>
      </c>
      <c r="N77" s="18">
        <v>0.45400000000000001</v>
      </c>
      <c r="O77" s="18">
        <v>3</v>
      </c>
      <c r="P77" s="18">
        <v>-10.286</v>
      </c>
      <c r="Q77" s="18">
        <v>1</v>
      </c>
      <c r="R77" s="18">
        <v>2.58E-2</v>
      </c>
      <c r="S77" s="18">
        <v>0.47699999999999998</v>
      </c>
      <c r="T77" s="21" t="s">
        <v>84</v>
      </c>
      <c r="U77" s="18">
        <v>9.74E-2</v>
      </c>
      <c r="V77" s="18">
        <v>0.51500000000000001</v>
      </c>
      <c r="W77" s="18">
        <v>140.18199999999999</v>
      </c>
      <c r="X77" s="18">
        <v>4</v>
      </c>
      <c r="Y77" s="19" t="s">
        <v>4</v>
      </c>
    </row>
    <row r="78" spans="1:25" x14ac:dyDescent="0.3">
      <c r="A78" s="14" t="s">
        <v>242</v>
      </c>
      <c r="B78" s="15" t="s">
        <v>243</v>
      </c>
      <c r="C78" s="15" t="s">
        <v>244</v>
      </c>
      <c r="D78" s="15" t="s">
        <v>245</v>
      </c>
      <c r="E78" s="15" t="str">
        <f t="shared" si="4"/>
        <v>Popular</v>
      </c>
      <c r="F78" s="15">
        <v>62</v>
      </c>
      <c r="G78" s="30">
        <f t="shared" si="5"/>
        <v>38.22</v>
      </c>
      <c r="H78" s="15">
        <v>229320</v>
      </c>
      <c r="I78" s="15" t="str">
        <f t="shared" si="6"/>
        <v>Clean</v>
      </c>
      <c r="J78" s="15" t="b">
        <v>0</v>
      </c>
      <c r="K78" s="15" t="str">
        <f t="shared" si="7"/>
        <v>Very Danceable</v>
      </c>
      <c r="L78" s="15">
        <v>0.70899999999999996</v>
      </c>
      <c r="M78" s="15" t="str">
        <f t="shared" si="8"/>
        <v>High Energy</v>
      </c>
      <c r="N78" s="15">
        <v>0.91300000000000003</v>
      </c>
      <c r="O78" s="15">
        <v>7</v>
      </c>
      <c r="P78" s="15">
        <v>-5.1479999999999997</v>
      </c>
      <c r="Q78" s="15">
        <v>1</v>
      </c>
      <c r="R78" s="15">
        <v>7.4800000000000005E-2</v>
      </c>
      <c r="S78" s="15">
        <v>1.8200000000000001E-2</v>
      </c>
      <c r="T78" s="15">
        <v>0</v>
      </c>
      <c r="U78" s="15">
        <v>0.16700000000000001</v>
      </c>
      <c r="V78" s="15">
        <v>0.51900000000000002</v>
      </c>
      <c r="W78" s="15">
        <v>108.024</v>
      </c>
      <c r="X78" s="15">
        <v>4</v>
      </c>
      <c r="Y78" s="16" t="s">
        <v>4</v>
      </c>
    </row>
    <row r="79" spans="1:25" x14ac:dyDescent="0.3">
      <c r="A79" s="17" t="s">
        <v>246</v>
      </c>
      <c r="B79" s="18" t="s">
        <v>247</v>
      </c>
      <c r="C79" s="18" t="s">
        <v>248</v>
      </c>
      <c r="D79" s="18" t="s">
        <v>249</v>
      </c>
      <c r="E79" s="18" t="str">
        <f t="shared" si="4"/>
        <v>Average</v>
      </c>
      <c r="F79" s="18">
        <v>45</v>
      </c>
      <c r="G79" s="30">
        <f t="shared" si="5"/>
        <v>55.155500000000004</v>
      </c>
      <c r="H79" s="18">
        <v>330933</v>
      </c>
      <c r="I79" s="18" t="str">
        <f t="shared" si="6"/>
        <v>Clean</v>
      </c>
      <c r="J79" s="18" t="b">
        <v>0</v>
      </c>
      <c r="K79" s="18" t="str">
        <f t="shared" si="7"/>
        <v>Moderate</v>
      </c>
      <c r="L79" s="18">
        <v>0.53700000000000003</v>
      </c>
      <c r="M79" s="18" t="str">
        <f t="shared" si="8"/>
        <v>Low Energy</v>
      </c>
      <c r="N79" s="18">
        <v>0.34200000000000003</v>
      </c>
      <c r="O79" s="18">
        <v>2</v>
      </c>
      <c r="P79" s="18">
        <v>-13.553000000000001</v>
      </c>
      <c r="Q79" s="18">
        <v>1</v>
      </c>
      <c r="R79" s="18">
        <v>2.7300000000000001E-2</v>
      </c>
      <c r="S79" s="18">
        <v>0.64500000000000002</v>
      </c>
      <c r="T79" s="18">
        <v>0.26600000000000001</v>
      </c>
      <c r="U79" s="18">
        <v>6.8699999999999997E-2</v>
      </c>
      <c r="V79" s="18">
        <v>0.253</v>
      </c>
      <c r="W79" s="18">
        <v>109.236</v>
      </c>
      <c r="X79" s="18">
        <v>4</v>
      </c>
      <c r="Y79" s="19" t="s">
        <v>4</v>
      </c>
    </row>
    <row r="80" spans="1:25" x14ac:dyDescent="0.3">
      <c r="A80" s="14" t="s">
        <v>250</v>
      </c>
      <c r="B80" s="15" t="s">
        <v>251</v>
      </c>
      <c r="C80" s="15" t="s">
        <v>252</v>
      </c>
      <c r="D80" s="15" t="s">
        <v>253</v>
      </c>
      <c r="E80" s="15" t="str">
        <f t="shared" si="4"/>
        <v>Popular</v>
      </c>
      <c r="F80" s="15">
        <v>64</v>
      </c>
      <c r="G80" s="30">
        <f t="shared" si="5"/>
        <v>28.702166666666667</v>
      </c>
      <c r="H80" s="15">
        <v>172213</v>
      </c>
      <c r="I80" s="15" t="str">
        <f t="shared" si="6"/>
        <v>Clean</v>
      </c>
      <c r="J80" s="15" t="b">
        <v>0</v>
      </c>
      <c r="K80" s="15" t="str">
        <f t="shared" si="7"/>
        <v>Moderate</v>
      </c>
      <c r="L80" s="15">
        <v>0.60199999999999998</v>
      </c>
      <c r="M80" s="15" t="str">
        <f t="shared" si="8"/>
        <v>Low Energy</v>
      </c>
      <c r="N80" s="15">
        <v>0.33600000000000002</v>
      </c>
      <c r="O80" s="15">
        <v>8</v>
      </c>
      <c r="P80" s="15">
        <v>-11.106</v>
      </c>
      <c r="Q80" s="15">
        <v>1</v>
      </c>
      <c r="R80" s="15">
        <v>3.6900000000000002E-2</v>
      </c>
      <c r="S80" s="15">
        <v>0.88300000000000001</v>
      </c>
      <c r="T80" s="15">
        <v>1.6999999999999999E-3</v>
      </c>
      <c r="U80" s="15">
        <v>0.14299999999999999</v>
      </c>
      <c r="V80" s="15">
        <v>0.33500000000000002</v>
      </c>
      <c r="W80" s="15">
        <v>90.894000000000005</v>
      </c>
      <c r="X80" s="15">
        <v>4</v>
      </c>
      <c r="Y80" s="16" t="s">
        <v>4</v>
      </c>
    </row>
    <row r="81" spans="1:25" x14ac:dyDescent="0.3">
      <c r="A81" s="17" t="s">
        <v>254</v>
      </c>
      <c r="B81" s="18" t="s">
        <v>30</v>
      </c>
      <c r="C81" s="18" t="s">
        <v>255</v>
      </c>
      <c r="D81" s="18" t="s">
        <v>256</v>
      </c>
      <c r="E81" s="18" t="str">
        <f t="shared" si="4"/>
        <v>Popular</v>
      </c>
      <c r="F81" s="18">
        <v>65</v>
      </c>
      <c r="G81" s="30">
        <f t="shared" si="5"/>
        <v>37.684333333333335</v>
      </c>
      <c r="H81" s="18">
        <v>226106</v>
      </c>
      <c r="I81" s="18" t="str">
        <f t="shared" si="6"/>
        <v>Clean</v>
      </c>
      <c r="J81" s="18" t="b">
        <v>0</v>
      </c>
      <c r="K81" s="18" t="str">
        <f t="shared" si="7"/>
        <v>Moderate</v>
      </c>
      <c r="L81" s="18">
        <v>0.64300000000000002</v>
      </c>
      <c r="M81" s="18" t="str">
        <f t="shared" si="8"/>
        <v>Medium Energy</v>
      </c>
      <c r="N81" s="18">
        <v>0.63800000000000001</v>
      </c>
      <c r="O81" s="18">
        <v>1</v>
      </c>
      <c r="P81" s="18">
        <v>-4.9470000000000001</v>
      </c>
      <c r="Q81" s="18">
        <v>0</v>
      </c>
      <c r="R81" s="18">
        <v>4.07E-2</v>
      </c>
      <c r="S81" s="18">
        <v>0.20399999999999999</v>
      </c>
      <c r="T81" s="18">
        <v>0</v>
      </c>
      <c r="U81" s="18">
        <v>7.0699999999999999E-2</v>
      </c>
      <c r="V81" s="18">
        <v>0.6</v>
      </c>
      <c r="W81" s="18">
        <v>82.001000000000005</v>
      </c>
      <c r="X81" s="18">
        <v>4</v>
      </c>
      <c r="Y81" s="19" t="s">
        <v>4</v>
      </c>
    </row>
    <row r="82" spans="1:25" x14ac:dyDescent="0.3">
      <c r="A82" s="14" t="s">
        <v>257</v>
      </c>
      <c r="B82" s="15" t="s">
        <v>258</v>
      </c>
      <c r="C82" s="15" t="s">
        <v>89</v>
      </c>
      <c r="D82" s="15" t="s">
        <v>259</v>
      </c>
      <c r="E82" s="15" t="str">
        <f t="shared" si="4"/>
        <v>Low</v>
      </c>
      <c r="F82" s="15">
        <v>0</v>
      </c>
      <c r="G82" s="30">
        <f t="shared" si="5"/>
        <v>39.195500000000003</v>
      </c>
      <c r="H82" s="15">
        <v>235173</v>
      </c>
      <c r="I82" s="15" t="str">
        <f t="shared" si="6"/>
        <v>Clean</v>
      </c>
      <c r="J82" s="15" t="b">
        <v>0</v>
      </c>
      <c r="K82" s="15" t="str">
        <f t="shared" si="7"/>
        <v>Moderate</v>
      </c>
      <c r="L82" s="15">
        <v>0.45100000000000001</v>
      </c>
      <c r="M82" s="15" t="str">
        <f t="shared" si="8"/>
        <v>High Energy</v>
      </c>
      <c r="N82" s="15">
        <v>0.7</v>
      </c>
      <c r="O82" s="15">
        <v>10</v>
      </c>
      <c r="P82" s="15">
        <v>-6.5970000000000004</v>
      </c>
      <c r="Q82" s="15">
        <v>0</v>
      </c>
      <c r="R82" s="15">
        <v>4.3099999999999999E-2</v>
      </c>
      <c r="S82" s="15">
        <v>0.45500000000000002</v>
      </c>
      <c r="T82" s="15">
        <v>2.33E-3</v>
      </c>
      <c r="U82" s="15">
        <v>0.40500000000000003</v>
      </c>
      <c r="V82" s="15">
        <v>0.37</v>
      </c>
      <c r="W82" s="15">
        <v>150.05500000000001</v>
      </c>
      <c r="X82" s="15">
        <v>4</v>
      </c>
      <c r="Y82" s="16" t="s">
        <v>4</v>
      </c>
    </row>
    <row r="83" spans="1:25" x14ac:dyDescent="0.3">
      <c r="A83" s="17" t="s">
        <v>260</v>
      </c>
      <c r="B83" s="18" t="s">
        <v>258</v>
      </c>
      <c r="C83" s="18" t="s">
        <v>261</v>
      </c>
      <c r="D83" s="18" t="s">
        <v>262</v>
      </c>
      <c r="E83" s="18" t="str">
        <f t="shared" si="4"/>
        <v>Low</v>
      </c>
      <c r="F83" s="18">
        <v>0</v>
      </c>
      <c r="G83" s="30">
        <f t="shared" si="5"/>
        <v>32.535499999999999</v>
      </c>
      <c r="H83" s="18">
        <v>195213</v>
      </c>
      <c r="I83" s="18" t="str">
        <f t="shared" si="6"/>
        <v>Clean</v>
      </c>
      <c r="J83" s="18" t="b">
        <v>0</v>
      </c>
      <c r="K83" s="18" t="str">
        <f t="shared" si="7"/>
        <v>Moderate</v>
      </c>
      <c r="L83" s="18">
        <v>0.54600000000000004</v>
      </c>
      <c r="M83" s="18" t="str">
        <f t="shared" si="8"/>
        <v>Low Energy</v>
      </c>
      <c r="N83" s="18">
        <v>0.39100000000000001</v>
      </c>
      <c r="O83" s="18">
        <v>2</v>
      </c>
      <c r="P83" s="18">
        <v>-10.786</v>
      </c>
      <c r="Q83" s="18">
        <v>0</v>
      </c>
      <c r="R83" s="18">
        <v>6.3E-2</v>
      </c>
      <c r="S83" s="18">
        <v>0.78400000000000003</v>
      </c>
      <c r="T83" s="21" t="s">
        <v>263</v>
      </c>
      <c r="U83" s="18">
        <v>5.5199999999999999E-2</v>
      </c>
      <c r="V83" s="18">
        <v>0.20200000000000001</v>
      </c>
      <c r="W83" s="18">
        <v>139.66900000000001</v>
      </c>
      <c r="X83" s="18">
        <v>4</v>
      </c>
      <c r="Y83" s="19" t="s">
        <v>4</v>
      </c>
    </row>
    <row r="84" spans="1:25" x14ac:dyDescent="0.3">
      <c r="A84" s="14" t="s">
        <v>264</v>
      </c>
      <c r="B84" s="15" t="s">
        <v>129</v>
      </c>
      <c r="C84" s="15" t="s">
        <v>265</v>
      </c>
      <c r="D84" s="15" t="s">
        <v>266</v>
      </c>
      <c r="E84" s="15" t="str">
        <f t="shared" si="4"/>
        <v>Popular</v>
      </c>
      <c r="F84" s="15">
        <v>68</v>
      </c>
      <c r="G84" s="30">
        <f t="shared" si="5"/>
        <v>39.384333333333331</v>
      </c>
      <c r="H84" s="15">
        <v>236306</v>
      </c>
      <c r="I84" s="15" t="str">
        <f t="shared" si="6"/>
        <v>Clean</v>
      </c>
      <c r="J84" s="15" t="b">
        <v>0</v>
      </c>
      <c r="K84" s="15" t="str">
        <f t="shared" si="7"/>
        <v>Moderate</v>
      </c>
      <c r="L84" s="15">
        <v>0.56100000000000005</v>
      </c>
      <c r="M84" s="15" t="str">
        <f t="shared" si="8"/>
        <v>Low Energy</v>
      </c>
      <c r="N84" s="15">
        <v>0.32700000000000001</v>
      </c>
      <c r="O84" s="15">
        <v>11</v>
      </c>
      <c r="P84" s="15">
        <v>-10.835000000000001</v>
      </c>
      <c r="Q84" s="15">
        <v>0</v>
      </c>
      <c r="R84" s="15">
        <v>3.27E-2</v>
      </c>
      <c r="S84" s="15">
        <v>0.90200000000000002</v>
      </c>
      <c r="T84" s="15">
        <v>4.6900000000000002E-4</v>
      </c>
      <c r="U84" s="15">
        <v>0.111</v>
      </c>
      <c r="V84" s="15">
        <v>0.29799999999999999</v>
      </c>
      <c r="W84" s="15">
        <v>161.858</v>
      </c>
      <c r="X84" s="15">
        <v>4</v>
      </c>
      <c r="Y84" s="16" t="s">
        <v>4</v>
      </c>
    </row>
    <row r="85" spans="1:25" x14ac:dyDescent="0.3">
      <c r="A85" s="17" t="s">
        <v>267</v>
      </c>
      <c r="B85" s="18" t="s">
        <v>258</v>
      </c>
      <c r="C85" s="18" t="s">
        <v>268</v>
      </c>
      <c r="D85" s="18" t="s">
        <v>269</v>
      </c>
      <c r="E85" s="18" t="str">
        <f t="shared" si="4"/>
        <v>Low</v>
      </c>
      <c r="F85" s="18">
        <v>0</v>
      </c>
      <c r="G85" s="30">
        <f t="shared" si="5"/>
        <v>30.233333333333334</v>
      </c>
      <c r="H85" s="18">
        <v>181400</v>
      </c>
      <c r="I85" s="18" t="str">
        <f t="shared" si="6"/>
        <v>Clean</v>
      </c>
      <c r="J85" s="18" t="b">
        <v>0</v>
      </c>
      <c r="K85" s="18" t="str">
        <f t="shared" si="7"/>
        <v>Moderate</v>
      </c>
      <c r="L85" s="18">
        <v>0.47899999999999998</v>
      </c>
      <c r="M85" s="18" t="str">
        <f t="shared" si="8"/>
        <v>Medium Energy</v>
      </c>
      <c r="N85" s="18">
        <v>0.54100000000000004</v>
      </c>
      <c r="O85" s="18">
        <v>0</v>
      </c>
      <c r="P85" s="18">
        <v>-9.8620000000000001</v>
      </c>
      <c r="Q85" s="18">
        <v>1</v>
      </c>
      <c r="R85" s="18">
        <v>5.4300000000000001E-2</v>
      </c>
      <c r="S85" s="18">
        <v>0.74</v>
      </c>
      <c r="T85" s="18">
        <v>0</v>
      </c>
      <c r="U85" s="18">
        <v>0.108</v>
      </c>
      <c r="V85" s="18">
        <v>0.3</v>
      </c>
      <c r="W85" s="18">
        <v>85.994</v>
      </c>
      <c r="X85" s="18">
        <v>4</v>
      </c>
      <c r="Y85" s="19" t="s">
        <v>4</v>
      </c>
    </row>
    <row r="86" spans="1:25" x14ac:dyDescent="0.3">
      <c r="A86" s="14" t="s">
        <v>270</v>
      </c>
      <c r="B86" s="15" t="s">
        <v>258</v>
      </c>
      <c r="C86" s="15" t="s">
        <v>82</v>
      </c>
      <c r="D86" s="15" t="s">
        <v>269</v>
      </c>
      <c r="E86" s="15" t="str">
        <f t="shared" si="4"/>
        <v>Low</v>
      </c>
      <c r="F86" s="15">
        <v>0</v>
      </c>
      <c r="G86" s="30">
        <f t="shared" si="5"/>
        <v>30.233333333333334</v>
      </c>
      <c r="H86" s="15">
        <v>181400</v>
      </c>
      <c r="I86" s="15" t="str">
        <f t="shared" si="6"/>
        <v>Clean</v>
      </c>
      <c r="J86" s="15" t="b">
        <v>0</v>
      </c>
      <c r="K86" s="15" t="str">
        <f t="shared" si="7"/>
        <v>Moderate</v>
      </c>
      <c r="L86" s="15">
        <v>0.47899999999999998</v>
      </c>
      <c r="M86" s="15" t="str">
        <f t="shared" si="8"/>
        <v>Medium Energy</v>
      </c>
      <c r="N86" s="15">
        <v>0.54100000000000004</v>
      </c>
      <c r="O86" s="15">
        <v>0</v>
      </c>
      <c r="P86" s="15">
        <v>-9.8620000000000001</v>
      </c>
      <c r="Q86" s="15">
        <v>1</v>
      </c>
      <c r="R86" s="15">
        <v>5.4300000000000001E-2</v>
      </c>
      <c r="S86" s="15">
        <v>0.74</v>
      </c>
      <c r="T86" s="15">
        <v>0</v>
      </c>
      <c r="U86" s="15">
        <v>0.108</v>
      </c>
      <c r="V86" s="15">
        <v>0.3</v>
      </c>
      <c r="W86" s="15">
        <v>85.994</v>
      </c>
      <c r="X86" s="15">
        <v>4</v>
      </c>
      <c r="Y86" s="16" t="s">
        <v>4</v>
      </c>
    </row>
    <row r="87" spans="1:25" x14ac:dyDescent="0.3">
      <c r="A87" s="17" t="s">
        <v>271</v>
      </c>
      <c r="B87" s="18" t="s">
        <v>129</v>
      </c>
      <c r="C87" s="18" t="s">
        <v>265</v>
      </c>
      <c r="D87" s="18" t="s">
        <v>272</v>
      </c>
      <c r="E87" s="18" t="str">
        <f t="shared" si="4"/>
        <v>Popular</v>
      </c>
      <c r="F87" s="18">
        <v>61</v>
      </c>
      <c r="G87" s="30">
        <f t="shared" si="5"/>
        <v>27.416666666666668</v>
      </c>
      <c r="H87" s="18">
        <v>164500</v>
      </c>
      <c r="I87" s="18" t="str">
        <f t="shared" si="6"/>
        <v>Clean</v>
      </c>
      <c r="J87" s="18" t="b">
        <v>0</v>
      </c>
      <c r="K87" s="18" t="str">
        <f t="shared" si="7"/>
        <v>Moderate</v>
      </c>
      <c r="L87" s="18">
        <v>0.436</v>
      </c>
      <c r="M87" s="18" t="str">
        <f t="shared" si="8"/>
        <v>Medium Energy</v>
      </c>
      <c r="N87" s="18">
        <v>0.4</v>
      </c>
      <c r="O87" s="18">
        <v>7</v>
      </c>
      <c r="P87" s="18">
        <v>-11.484999999999999</v>
      </c>
      <c r="Q87" s="18">
        <v>1</v>
      </c>
      <c r="R87" s="18">
        <v>2.7199999999999998E-2</v>
      </c>
      <c r="S87" s="18">
        <v>0.90400000000000003</v>
      </c>
      <c r="T87" s="18">
        <v>1.0499999999999999E-3</v>
      </c>
      <c r="U87" s="18">
        <v>0.125</v>
      </c>
      <c r="V87" s="18">
        <v>0.35099999999999998</v>
      </c>
      <c r="W87" s="18">
        <v>100.73399999999999</v>
      </c>
      <c r="X87" s="18">
        <v>4</v>
      </c>
      <c r="Y87" s="19" t="s">
        <v>4</v>
      </c>
    </row>
    <row r="88" spans="1:25" x14ac:dyDescent="0.3">
      <c r="A88" s="14" t="s">
        <v>273</v>
      </c>
      <c r="B88" s="15" t="s">
        <v>184</v>
      </c>
      <c r="C88" s="15" t="s">
        <v>274</v>
      </c>
      <c r="D88" s="15" t="s">
        <v>275</v>
      </c>
      <c r="E88" s="15" t="str">
        <f t="shared" si="4"/>
        <v>Popular</v>
      </c>
      <c r="F88" s="15">
        <v>70</v>
      </c>
      <c r="G88" s="30">
        <f t="shared" si="5"/>
        <v>36.762166666666666</v>
      </c>
      <c r="H88" s="15">
        <v>220573</v>
      </c>
      <c r="I88" s="15" t="str">
        <f t="shared" si="6"/>
        <v>Clean</v>
      </c>
      <c r="J88" s="15" t="b">
        <v>0</v>
      </c>
      <c r="K88" s="15" t="str">
        <f t="shared" si="7"/>
        <v>Moderate</v>
      </c>
      <c r="L88" s="15">
        <v>0.55100000000000005</v>
      </c>
      <c r="M88" s="15" t="str">
        <f t="shared" si="8"/>
        <v>High Energy</v>
      </c>
      <c r="N88" s="15">
        <v>0.83599999999999997</v>
      </c>
      <c r="O88" s="15">
        <v>10</v>
      </c>
      <c r="P88" s="15">
        <v>-3.8380000000000001</v>
      </c>
      <c r="Q88" s="15">
        <v>0</v>
      </c>
      <c r="R88" s="15">
        <v>5.2400000000000002E-2</v>
      </c>
      <c r="S88" s="15">
        <v>5.0200000000000002E-3</v>
      </c>
      <c r="T88" s="20" t="s">
        <v>276</v>
      </c>
      <c r="U88" s="15">
        <v>4.2500000000000003E-2</v>
      </c>
      <c r="V88" s="15">
        <v>0.75800000000000001</v>
      </c>
      <c r="W88" s="15">
        <v>185.06299999999999</v>
      </c>
      <c r="X88" s="15">
        <v>4</v>
      </c>
      <c r="Y88" s="16" t="s">
        <v>4</v>
      </c>
    </row>
    <row r="89" spans="1:25" x14ac:dyDescent="0.3">
      <c r="A89" s="17" t="s">
        <v>277</v>
      </c>
      <c r="B89" s="18" t="s">
        <v>115</v>
      </c>
      <c r="C89" s="18" t="s">
        <v>278</v>
      </c>
      <c r="D89" s="18" t="s">
        <v>117</v>
      </c>
      <c r="E89" s="18" t="str">
        <f t="shared" si="4"/>
        <v>Low</v>
      </c>
      <c r="F89" s="18">
        <v>0</v>
      </c>
      <c r="G89" s="30">
        <f t="shared" si="5"/>
        <v>42.915500000000002</v>
      </c>
      <c r="H89" s="18">
        <v>257493</v>
      </c>
      <c r="I89" s="18" t="str">
        <f t="shared" si="6"/>
        <v>Clean</v>
      </c>
      <c r="J89" s="18" t="b">
        <v>0</v>
      </c>
      <c r="K89" s="18" t="str">
        <f t="shared" si="7"/>
        <v>Moderate</v>
      </c>
      <c r="L89" s="18">
        <v>0.40899999999999997</v>
      </c>
      <c r="M89" s="18" t="str">
        <f t="shared" si="8"/>
        <v>Low Energy</v>
      </c>
      <c r="N89" s="18">
        <v>0.153</v>
      </c>
      <c r="O89" s="18">
        <v>6</v>
      </c>
      <c r="P89" s="18">
        <v>-10.74</v>
      </c>
      <c r="Q89" s="18">
        <v>0</v>
      </c>
      <c r="R89" s="18">
        <v>3.0599999999999999E-2</v>
      </c>
      <c r="S89" s="18">
        <v>0.93899999999999995</v>
      </c>
      <c r="T89" s="21" t="s">
        <v>118</v>
      </c>
      <c r="U89" s="18">
        <v>0.108</v>
      </c>
      <c r="V89" s="18">
        <v>0.18</v>
      </c>
      <c r="W89" s="18">
        <v>85.262</v>
      </c>
      <c r="X89" s="18">
        <v>4</v>
      </c>
      <c r="Y89" s="19" t="s">
        <v>4</v>
      </c>
    </row>
    <row r="90" spans="1:25" x14ac:dyDescent="0.3">
      <c r="A90" s="14" t="s">
        <v>279</v>
      </c>
      <c r="B90" s="15" t="s">
        <v>115</v>
      </c>
      <c r="C90" s="15" t="s">
        <v>280</v>
      </c>
      <c r="D90" s="15" t="s">
        <v>117</v>
      </c>
      <c r="E90" s="15" t="str">
        <f t="shared" si="4"/>
        <v>Low</v>
      </c>
      <c r="F90" s="15">
        <v>0</v>
      </c>
      <c r="G90" s="30">
        <f t="shared" si="5"/>
        <v>42.915500000000002</v>
      </c>
      <c r="H90" s="15">
        <v>257493</v>
      </c>
      <c r="I90" s="15" t="str">
        <f t="shared" si="6"/>
        <v>Clean</v>
      </c>
      <c r="J90" s="15" t="b">
        <v>0</v>
      </c>
      <c r="K90" s="15" t="str">
        <f t="shared" si="7"/>
        <v>Moderate</v>
      </c>
      <c r="L90" s="15">
        <v>0.40899999999999997</v>
      </c>
      <c r="M90" s="15" t="str">
        <f t="shared" si="8"/>
        <v>Low Energy</v>
      </c>
      <c r="N90" s="15">
        <v>0.153</v>
      </c>
      <c r="O90" s="15">
        <v>6</v>
      </c>
      <c r="P90" s="15">
        <v>-10.74</v>
      </c>
      <c r="Q90" s="15">
        <v>0</v>
      </c>
      <c r="R90" s="15">
        <v>3.0599999999999999E-2</v>
      </c>
      <c r="S90" s="15">
        <v>0.93899999999999995</v>
      </c>
      <c r="T90" s="20" t="s">
        <v>118</v>
      </c>
      <c r="U90" s="15">
        <v>0.108</v>
      </c>
      <c r="V90" s="15">
        <v>0.18</v>
      </c>
      <c r="W90" s="15">
        <v>85.262</v>
      </c>
      <c r="X90" s="15">
        <v>4</v>
      </c>
      <c r="Y90" s="16" t="s">
        <v>4</v>
      </c>
    </row>
    <row r="91" spans="1:25" x14ac:dyDescent="0.3">
      <c r="A91" s="17" t="s">
        <v>281</v>
      </c>
      <c r="B91" s="18" t="s">
        <v>228</v>
      </c>
      <c r="C91" s="18" t="s">
        <v>282</v>
      </c>
      <c r="D91" s="18" t="s">
        <v>283</v>
      </c>
      <c r="E91" s="18" t="str">
        <f t="shared" si="4"/>
        <v>Popular</v>
      </c>
      <c r="F91" s="18">
        <v>62</v>
      </c>
      <c r="G91" s="30">
        <f t="shared" si="5"/>
        <v>35.101999999999997</v>
      </c>
      <c r="H91" s="18">
        <v>210612</v>
      </c>
      <c r="I91" s="18" t="str">
        <f t="shared" si="6"/>
        <v>Clean</v>
      </c>
      <c r="J91" s="18" t="b">
        <v>0</v>
      </c>
      <c r="K91" s="18" t="str">
        <f t="shared" si="7"/>
        <v>Moderate</v>
      </c>
      <c r="L91" s="18">
        <v>0.6</v>
      </c>
      <c r="M91" s="18" t="str">
        <f t="shared" si="8"/>
        <v>High Energy</v>
      </c>
      <c r="N91" s="18">
        <v>0.84499999999999997</v>
      </c>
      <c r="O91" s="18">
        <v>10</v>
      </c>
      <c r="P91" s="18">
        <v>-7.0759999999999996</v>
      </c>
      <c r="Q91" s="18">
        <v>1</v>
      </c>
      <c r="R91" s="18">
        <v>3.1099999999999999E-2</v>
      </c>
      <c r="S91" s="18">
        <v>4.8000000000000001E-2</v>
      </c>
      <c r="T91" s="18">
        <v>0</v>
      </c>
      <c r="U91" s="18">
        <v>0.24</v>
      </c>
      <c r="V91" s="18">
        <v>0.39200000000000002</v>
      </c>
      <c r="W91" s="18">
        <v>97.631</v>
      </c>
      <c r="X91" s="18">
        <v>4</v>
      </c>
      <c r="Y91" s="19" t="s">
        <v>4</v>
      </c>
    </row>
    <row r="92" spans="1:25" x14ac:dyDescent="0.3">
      <c r="A92" s="14" t="s">
        <v>284</v>
      </c>
      <c r="B92" s="15" t="s">
        <v>285</v>
      </c>
      <c r="C92" s="15" t="s">
        <v>278</v>
      </c>
      <c r="D92" s="15" t="s">
        <v>286</v>
      </c>
      <c r="E92" s="15" t="str">
        <f t="shared" si="4"/>
        <v>Low</v>
      </c>
      <c r="F92" s="15">
        <v>0</v>
      </c>
      <c r="G92" s="30">
        <f t="shared" si="5"/>
        <v>25.74</v>
      </c>
      <c r="H92" s="15">
        <v>154440</v>
      </c>
      <c r="I92" s="15" t="str">
        <f t="shared" si="6"/>
        <v>Clean</v>
      </c>
      <c r="J92" s="15" t="b">
        <v>0</v>
      </c>
      <c r="K92" s="15" t="str">
        <f t="shared" si="7"/>
        <v>Moderate</v>
      </c>
      <c r="L92" s="15">
        <v>0.49199999999999999</v>
      </c>
      <c r="M92" s="15" t="str">
        <f t="shared" si="8"/>
        <v>Low Energy</v>
      </c>
      <c r="N92" s="15">
        <v>0.14499999999999999</v>
      </c>
      <c r="O92" s="15">
        <v>2</v>
      </c>
      <c r="P92" s="15">
        <v>-14.504</v>
      </c>
      <c r="Q92" s="15">
        <v>0</v>
      </c>
      <c r="R92" s="15">
        <v>4.2200000000000001E-2</v>
      </c>
      <c r="S92" s="15">
        <v>0.872</v>
      </c>
      <c r="T92" s="20" t="s">
        <v>287</v>
      </c>
      <c r="U92" s="15">
        <v>0.107</v>
      </c>
      <c r="V92" s="15">
        <v>0.218</v>
      </c>
      <c r="W92" s="15">
        <v>90.078000000000003</v>
      </c>
      <c r="X92" s="15">
        <v>4</v>
      </c>
      <c r="Y92" s="16" t="s">
        <v>4</v>
      </c>
    </row>
    <row r="93" spans="1:25" x14ac:dyDescent="0.3">
      <c r="A93" s="17" t="s">
        <v>288</v>
      </c>
      <c r="B93" s="18" t="s">
        <v>285</v>
      </c>
      <c r="C93" s="18" t="s">
        <v>289</v>
      </c>
      <c r="D93" s="18" t="s">
        <v>286</v>
      </c>
      <c r="E93" s="18" t="str">
        <f t="shared" si="4"/>
        <v>Low</v>
      </c>
      <c r="F93" s="18">
        <v>0</v>
      </c>
      <c r="G93" s="30">
        <f t="shared" si="5"/>
        <v>25.74</v>
      </c>
      <c r="H93" s="18">
        <v>154440</v>
      </c>
      <c r="I93" s="18" t="str">
        <f t="shared" si="6"/>
        <v>Clean</v>
      </c>
      <c r="J93" s="18" t="b">
        <v>0</v>
      </c>
      <c r="K93" s="18" t="str">
        <f t="shared" si="7"/>
        <v>Moderate</v>
      </c>
      <c r="L93" s="18">
        <v>0.49199999999999999</v>
      </c>
      <c r="M93" s="18" t="str">
        <f t="shared" si="8"/>
        <v>Low Energy</v>
      </c>
      <c r="N93" s="18">
        <v>0.14499999999999999</v>
      </c>
      <c r="O93" s="18">
        <v>2</v>
      </c>
      <c r="P93" s="18">
        <v>-14.504</v>
      </c>
      <c r="Q93" s="18">
        <v>0</v>
      </c>
      <c r="R93" s="18">
        <v>4.2200000000000001E-2</v>
      </c>
      <c r="S93" s="18">
        <v>0.872</v>
      </c>
      <c r="T93" s="21" t="s">
        <v>287</v>
      </c>
      <c r="U93" s="18">
        <v>0.107</v>
      </c>
      <c r="V93" s="18">
        <v>0.218</v>
      </c>
      <c r="W93" s="18">
        <v>90.078000000000003</v>
      </c>
      <c r="X93" s="18">
        <v>4</v>
      </c>
      <c r="Y93" s="19" t="s">
        <v>4</v>
      </c>
    </row>
    <row r="94" spans="1:25" x14ac:dyDescent="0.3">
      <c r="A94" s="14" t="s">
        <v>290</v>
      </c>
      <c r="B94" s="15" t="s">
        <v>115</v>
      </c>
      <c r="C94" s="15" t="s">
        <v>289</v>
      </c>
      <c r="D94" s="15" t="s">
        <v>291</v>
      </c>
      <c r="E94" s="15" t="str">
        <f t="shared" si="4"/>
        <v>Low</v>
      </c>
      <c r="F94" s="15">
        <v>0</v>
      </c>
      <c r="G94" s="30">
        <f t="shared" si="5"/>
        <v>43.977666666666664</v>
      </c>
      <c r="H94" s="15">
        <v>263866</v>
      </c>
      <c r="I94" s="15" t="str">
        <f t="shared" si="6"/>
        <v>Clean</v>
      </c>
      <c r="J94" s="15" t="b">
        <v>0</v>
      </c>
      <c r="K94" s="15" t="str">
        <f t="shared" si="7"/>
        <v>Moderate</v>
      </c>
      <c r="L94" s="15">
        <v>0.44700000000000001</v>
      </c>
      <c r="M94" s="15" t="str">
        <f t="shared" si="8"/>
        <v>Medium Energy</v>
      </c>
      <c r="N94" s="15">
        <v>0.55500000000000005</v>
      </c>
      <c r="O94" s="15">
        <v>2</v>
      </c>
      <c r="P94" s="15">
        <v>-6.0179999999999998</v>
      </c>
      <c r="Q94" s="15">
        <v>1</v>
      </c>
      <c r="R94" s="15">
        <v>3.49E-2</v>
      </c>
      <c r="S94" s="15">
        <v>0.218</v>
      </c>
      <c r="T94" s="20" t="s">
        <v>292</v>
      </c>
      <c r="U94" s="15">
        <v>0.124</v>
      </c>
      <c r="V94" s="15">
        <v>0.33</v>
      </c>
      <c r="W94" s="15">
        <v>117.88800000000001</v>
      </c>
      <c r="X94" s="15">
        <v>3</v>
      </c>
      <c r="Y94" s="16" t="s">
        <v>4</v>
      </c>
    </row>
    <row r="95" spans="1:25" x14ac:dyDescent="0.3">
      <c r="A95" s="17" t="s">
        <v>293</v>
      </c>
      <c r="B95" s="18" t="s">
        <v>285</v>
      </c>
      <c r="C95" s="18" t="s">
        <v>294</v>
      </c>
      <c r="D95" s="18" t="s">
        <v>286</v>
      </c>
      <c r="E95" s="18" t="str">
        <f t="shared" si="4"/>
        <v>Low</v>
      </c>
      <c r="F95" s="18">
        <v>0</v>
      </c>
      <c r="G95" s="30">
        <f t="shared" si="5"/>
        <v>25.74</v>
      </c>
      <c r="H95" s="18">
        <v>154440</v>
      </c>
      <c r="I95" s="18" t="str">
        <f t="shared" si="6"/>
        <v>Clean</v>
      </c>
      <c r="J95" s="18" t="b">
        <v>0</v>
      </c>
      <c r="K95" s="18" t="str">
        <f t="shared" si="7"/>
        <v>Moderate</v>
      </c>
      <c r="L95" s="18">
        <v>0.49199999999999999</v>
      </c>
      <c r="M95" s="18" t="str">
        <f t="shared" si="8"/>
        <v>Low Energy</v>
      </c>
      <c r="N95" s="18">
        <v>0.14499999999999999</v>
      </c>
      <c r="O95" s="18">
        <v>2</v>
      </c>
      <c r="P95" s="18">
        <v>-14.504</v>
      </c>
      <c r="Q95" s="18">
        <v>0</v>
      </c>
      <c r="R95" s="18">
        <v>4.2200000000000001E-2</v>
      </c>
      <c r="S95" s="18">
        <v>0.872</v>
      </c>
      <c r="T95" s="21" t="s">
        <v>287</v>
      </c>
      <c r="U95" s="18">
        <v>0.107</v>
      </c>
      <c r="V95" s="18">
        <v>0.218</v>
      </c>
      <c r="W95" s="18">
        <v>90.078000000000003</v>
      </c>
      <c r="X95" s="18">
        <v>4</v>
      </c>
      <c r="Y95" s="19" t="s">
        <v>4</v>
      </c>
    </row>
    <row r="96" spans="1:25" x14ac:dyDescent="0.3">
      <c r="A96" s="14" t="s">
        <v>295</v>
      </c>
      <c r="B96" s="15" t="s">
        <v>285</v>
      </c>
      <c r="C96" s="15" t="s">
        <v>280</v>
      </c>
      <c r="D96" s="15" t="s">
        <v>286</v>
      </c>
      <c r="E96" s="15" t="str">
        <f t="shared" si="4"/>
        <v>Low</v>
      </c>
      <c r="F96" s="15">
        <v>0</v>
      </c>
      <c r="G96" s="30">
        <f t="shared" si="5"/>
        <v>25.74</v>
      </c>
      <c r="H96" s="15">
        <v>154440</v>
      </c>
      <c r="I96" s="15" t="str">
        <f t="shared" si="6"/>
        <v>Clean</v>
      </c>
      <c r="J96" s="15" t="b">
        <v>0</v>
      </c>
      <c r="K96" s="15" t="str">
        <f t="shared" si="7"/>
        <v>Moderate</v>
      </c>
      <c r="L96" s="15">
        <v>0.49199999999999999</v>
      </c>
      <c r="M96" s="15" t="str">
        <f t="shared" si="8"/>
        <v>Low Energy</v>
      </c>
      <c r="N96" s="15">
        <v>0.14499999999999999</v>
      </c>
      <c r="O96" s="15">
        <v>2</v>
      </c>
      <c r="P96" s="15">
        <v>-14.504</v>
      </c>
      <c r="Q96" s="15">
        <v>0</v>
      </c>
      <c r="R96" s="15">
        <v>4.2200000000000001E-2</v>
      </c>
      <c r="S96" s="15">
        <v>0.872</v>
      </c>
      <c r="T96" s="20" t="s">
        <v>287</v>
      </c>
      <c r="U96" s="15">
        <v>0.107</v>
      </c>
      <c r="V96" s="15">
        <v>0.218</v>
      </c>
      <c r="W96" s="15">
        <v>90.078000000000003</v>
      </c>
      <c r="X96" s="15">
        <v>4</v>
      </c>
      <c r="Y96" s="16" t="s">
        <v>4</v>
      </c>
    </row>
    <row r="97" spans="1:25" x14ac:dyDescent="0.3">
      <c r="A97" s="17" t="s">
        <v>296</v>
      </c>
      <c r="B97" s="18" t="s">
        <v>285</v>
      </c>
      <c r="C97" s="18" t="s">
        <v>116</v>
      </c>
      <c r="D97" s="18" t="s">
        <v>286</v>
      </c>
      <c r="E97" s="18" t="str">
        <f t="shared" si="4"/>
        <v>Low</v>
      </c>
      <c r="F97" s="18">
        <v>0</v>
      </c>
      <c r="G97" s="30">
        <f t="shared" si="5"/>
        <v>25.74</v>
      </c>
      <c r="H97" s="18">
        <v>154440</v>
      </c>
      <c r="I97" s="18" t="str">
        <f t="shared" si="6"/>
        <v>Clean</v>
      </c>
      <c r="J97" s="18" t="b">
        <v>0</v>
      </c>
      <c r="K97" s="18" t="str">
        <f t="shared" si="7"/>
        <v>Moderate</v>
      </c>
      <c r="L97" s="18">
        <v>0.49199999999999999</v>
      </c>
      <c r="M97" s="18" t="str">
        <f t="shared" si="8"/>
        <v>Low Energy</v>
      </c>
      <c r="N97" s="18">
        <v>0.14499999999999999</v>
      </c>
      <c r="O97" s="18">
        <v>2</v>
      </c>
      <c r="P97" s="18">
        <v>-14.504</v>
      </c>
      <c r="Q97" s="18">
        <v>0</v>
      </c>
      <c r="R97" s="18">
        <v>4.2200000000000001E-2</v>
      </c>
      <c r="S97" s="18">
        <v>0.872</v>
      </c>
      <c r="T97" s="21" t="s">
        <v>287</v>
      </c>
      <c r="U97" s="18">
        <v>0.107</v>
      </c>
      <c r="V97" s="18">
        <v>0.218</v>
      </c>
      <c r="W97" s="18">
        <v>90.078000000000003</v>
      </c>
      <c r="X97" s="18">
        <v>4</v>
      </c>
      <c r="Y97" s="19" t="s">
        <v>4</v>
      </c>
    </row>
    <row r="98" spans="1:25" x14ac:dyDescent="0.3">
      <c r="A98" s="14" t="s">
        <v>297</v>
      </c>
      <c r="B98" s="15" t="s">
        <v>285</v>
      </c>
      <c r="C98" s="15" t="s">
        <v>127</v>
      </c>
      <c r="D98" s="15" t="s">
        <v>286</v>
      </c>
      <c r="E98" s="15" t="str">
        <f t="shared" si="4"/>
        <v>Low</v>
      </c>
      <c r="F98" s="15">
        <v>0</v>
      </c>
      <c r="G98" s="30">
        <f t="shared" si="5"/>
        <v>25.74</v>
      </c>
      <c r="H98" s="15">
        <v>154440</v>
      </c>
      <c r="I98" s="15" t="str">
        <f t="shared" si="6"/>
        <v>Clean</v>
      </c>
      <c r="J98" s="15" t="b">
        <v>0</v>
      </c>
      <c r="K98" s="15" t="str">
        <f t="shared" si="7"/>
        <v>Moderate</v>
      </c>
      <c r="L98" s="15">
        <v>0.49199999999999999</v>
      </c>
      <c r="M98" s="15" t="str">
        <f t="shared" si="8"/>
        <v>Low Energy</v>
      </c>
      <c r="N98" s="15">
        <v>0.14499999999999999</v>
      </c>
      <c r="O98" s="15">
        <v>2</v>
      </c>
      <c r="P98" s="15">
        <v>-14.504</v>
      </c>
      <c r="Q98" s="15">
        <v>0</v>
      </c>
      <c r="R98" s="15">
        <v>4.2200000000000001E-2</v>
      </c>
      <c r="S98" s="15">
        <v>0.872</v>
      </c>
      <c r="T98" s="20" t="s">
        <v>287</v>
      </c>
      <c r="U98" s="15">
        <v>0.107</v>
      </c>
      <c r="V98" s="15">
        <v>0.218</v>
      </c>
      <c r="W98" s="15">
        <v>90.078000000000003</v>
      </c>
      <c r="X98" s="15">
        <v>4</v>
      </c>
      <c r="Y98" s="16" t="s">
        <v>4</v>
      </c>
    </row>
    <row r="99" spans="1:25" x14ac:dyDescent="0.3">
      <c r="A99" s="17" t="s">
        <v>298</v>
      </c>
      <c r="B99" s="18" t="s">
        <v>285</v>
      </c>
      <c r="C99" s="18" t="s">
        <v>106</v>
      </c>
      <c r="D99" s="18" t="s">
        <v>286</v>
      </c>
      <c r="E99" s="18" t="str">
        <f t="shared" si="4"/>
        <v>Low</v>
      </c>
      <c r="F99" s="18">
        <v>0</v>
      </c>
      <c r="G99" s="30">
        <f t="shared" si="5"/>
        <v>25.74</v>
      </c>
      <c r="H99" s="18">
        <v>154440</v>
      </c>
      <c r="I99" s="18" t="str">
        <f t="shared" si="6"/>
        <v>Clean</v>
      </c>
      <c r="J99" s="18" t="b">
        <v>0</v>
      </c>
      <c r="K99" s="18" t="str">
        <f t="shared" si="7"/>
        <v>Moderate</v>
      </c>
      <c r="L99" s="18">
        <v>0.49199999999999999</v>
      </c>
      <c r="M99" s="18" t="str">
        <f t="shared" si="8"/>
        <v>Low Energy</v>
      </c>
      <c r="N99" s="18">
        <v>0.14499999999999999</v>
      </c>
      <c r="O99" s="18">
        <v>2</v>
      </c>
      <c r="P99" s="18">
        <v>-14.504</v>
      </c>
      <c r="Q99" s="18">
        <v>0</v>
      </c>
      <c r="R99" s="18">
        <v>4.2200000000000001E-2</v>
      </c>
      <c r="S99" s="18">
        <v>0.872</v>
      </c>
      <c r="T99" s="21" t="s">
        <v>287</v>
      </c>
      <c r="U99" s="18">
        <v>0.107</v>
      </c>
      <c r="V99" s="18">
        <v>0.218</v>
      </c>
      <c r="W99" s="18">
        <v>90.078000000000003</v>
      </c>
      <c r="X99" s="18">
        <v>4</v>
      </c>
      <c r="Y99" s="19" t="s">
        <v>4</v>
      </c>
    </row>
    <row r="100" spans="1:25" x14ac:dyDescent="0.3">
      <c r="A100" s="14" t="s">
        <v>299</v>
      </c>
      <c r="B100" s="15" t="s">
        <v>115</v>
      </c>
      <c r="C100" s="15" t="s">
        <v>300</v>
      </c>
      <c r="D100" s="15" t="s">
        <v>20</v>
      </c>
      <c r="E100" s="15" t="str">
        <f t="shared" si="4"/>
        <v>Low</v>
      </c>
      <c r="F100" s="15">
        <v>0</v>
      </c>
      <c r="G100" s="30">
        <f t="shared" si="5"/>
        <v>29.602166666666665</v>
      </c>
      <c r="H100" s="15">
        <v>177613</v>
      </c>
      <c r="I100" s="15" t="str">
        <f t="shared" si="6"/>
        <v>Clean</v>
      </c>
      <c r="J100" s="15" t="b">
        <v>0</v>
      </c>
      <c r="K100" s="15" t="str">
        <f t="shared" si="7"/>
        <v>Moderate</v>
      </c>
      <c r="L100" s="15">
        <v>0.66100000000000003</v>
      </c>
      <c r="M100" s="15" t="str">
        <f t="shared" si="8"/>
        <v>High Energy</v>
      </c>
      <c r="N100" s="15">
        <v>0.93700000000000006</v>
      </c>
      <c r="O100" s="15">
        <v>4</v>
      </c>
      <c r="P100" s="15">
        <v>-5.157</v>
      </c>
      <c r="Q100" s="15">
        <v>0</v>
      </c>
      <c r="R100" s="15">
        <v>9.7900000000000001E-2</v>
      </c>
      <c r="S100" s="15">
        <v>0.32200000000000001</v>
      </c>
      <c r="T100" s="20" t="s">
        <v>301</v>
      </c>
      <c r="U100" s="15">
        <v>0.19</v>
      </c>
      <c r="V100" s="15">
        <v>0.80500000000000005</v>
      </c>
      <c r="W100" s="15">
        <v>105.54900000000001</v>
      </c>
      <c r="X100" s="15">
        <v>4</v>
      </c>
      <c r="Y100" s="16" t="s">
        <v>4</v>
      </c>
    </row>
    <row r="101" spans="1:25" x14ac:dyDescent="0.3">
      <c r="A101" s="17" t="s">
        <v>302</v>
      </c>
      <c r="B101" s="18" t="s">
        <v>115</v>
      </c>
      <c r="C101" s="18" t="s">
        <v>303</v>
      </c>
      <c r="D101" s="18" t="s">
        <v>304</v>
      </c>
      <c r="E101" s="18" t="str">
        <f t="shared" si="4"/>
        <v>Low</v>
      </c>
      <c r="F101" s="18">
        <v>0</v>
      </c>
      <c r="G101" s="30">
        <f t="shared" si="5"/>
        <v>33.173333333333332</v>
      </c>
      <c r="H101" s="18">
        <v>199040</v>
      </c>
      <c r="I101" s="18" t="str">
        <f t="shared" si="6"/>
        <v>Clean</v>
      </c>
      <c r="J101" s="18" t="b">
        <v>0</v>
      </c>
      <c r="K101" s="18" t="str">
        <f t="shared" si="7"/>
        <v>Moderate</v>
      </c>
      <c r="L101" s="18">
        <v>0.60299999999999998</v>
      </c>
      <c r="M101" s="18" t="str">
        <f t="shared" si="8"/>
        <v>High Energy</v>
      </c>
      <c r="N101" s="18">
        <v>0.78</v>
      </c>
      <c r="O101" s="18">
        <v>0</v>
      </c>
      <c r="P101" s="18">
        <v>-5.5309999999999997</v>
      </c>
      <c r="Q101" s="18">
        <v>1</v>
      </c>
      <c r="R101" s="18">
        <v>4.3799999999999999E-2</v>
      </c>
      <c r="S101" s="18">
        <v>0.13900000000000001</v>
      </c>
      <c r="T101" s="18">
        <v>0</v>
      </c>
      <c r="U101" s="18">
        <v>0.16400000000000001</v>
      </c>
      <c r="V101" s="18">
        <v>0.69299999999999995</v>
      </c>
      <c r="W101" s="18">
        <v>100.499</v>
      </c>
      <c r="X101" s="18">
        <v>4</v>
      </c>
      <c r="Y101" s="19" t="s">
        <v>4</v>
      </c>
    </row>
    <row r="102" spans="1:25" x14ac:dyDescent="0.3">
      <c r="A102" s="14" t="s">
        <v>305</v>
      </c>
      <c r="B102" s="15" t="s">
        <v>160</v>
      </c>
      <c r="C102" s="15" t="s">
        <v>306</v>
      </c>
      <c r="D102" s="15" t="s">
        <v>307</v>
      </c>
      <c r="E102" s="15" t="str">
        <f t="shared" si="4"/>
        <v>Average</v>
      </c>
      <c r="F102" s="15">
        <v>58</v>
      </c>
      <c r="G102" s="30">
        <f t="shared" si="5"/>
        <v>48.84</v>
      </c>
      <c r="H102" s="15">
        <v>293040</v>
      </c>
      <c r="I102" s="15" t="str">
        <f t="shared" si="6"/>
        <v>Clean</v>
      </c>
      <c r="J102" s="15" t="b">
        <v>0</v>
      </c>
      <c r="K102" s="15" t="str">
        <f t="shared" si="7"/>
        <v>Moderate</v>
      </c>
      <c r="L102" s="15">
        <v>0.626</v>
      </c>
      <c r="M102" s="15" t="str">
        <f t="shared" si="8"/>
        <v>Medium Energy</v>
      </c>
      <c r="N102" s="15">
        <v>0.65500000000000003</v>
      </c>
      <c r="O102" s="15">
        <v>9</v>
      </c>
      <c r="P102" s="15">
        <v>-6.69</v>
      </c>
      <c r="Q102" s="15">
        <v>1</v>
      </c>
      <c r="R102" s="15">
        <v>2.63E-2</v>
      </c>
      <c r="S102" s="15">
        <v>0.503</v>
      </c>
      <c r="T102" s="15">
        <v>0</v>
      </c>
      <c r="U102" s="15">
        <v>0.13</v>
      </c>
      <c r="V102" s="15">
        <v>0.54200000000000004</v>
      </c>
      <c r="W102" s="15">
        <v>92.003</v>
      </c>
      <c r="X102" s="15">
        <v>4</v>
      </c>
      <c r="Y102" s="16" t="s">
        <v>4</v>
      </c>
    </row>
    <row r="103" spans="1:25" x14ac:dyDescent="0.3">
      <c r="A103" s="17" t="s">
        <v>308</v>
      </c>
      <c r="B103" s="18" t="s">
        <v>309</v>
      </c>
      <c r="C103" s="18" t="s">
        <v>310</v>
      </c>
      <c r="D103" s="18" t="s">
        <v>311</v>
      </c>
      <c r="E103" s="18" t="str">
        <f t="shared" si="4"/>
        <v>Average</v>
      </c>
      <c r="F103" s="18">
        <v>50</v>
      </c>
      <c r="G103" s="30">
        <f t="shared" si="5"/>
        <v>23.0825</v>
      </c>
      <c r="H103" s="18">
        <v>138495</v>
      </c>
      <c r="I103" s="18" t="str">
        <f t="shared" si="6"/>
        <v>Clean</v>
      </c>
      <c r="J103" s="18" t="b">
        <v>0</v>
      </c>
      <c r="K103" s="18" t="str">
        <f t="shared" si="7"/>
        <v>Very Danceable</v>
      </c>
      <c r="L103" s="18">
        <v>0.79400000000000004</v>
      </c>
      <c r="M103" s="18" t="str">
        <f t="shared" si="8"/>
        <v>Low Energy</v>
      </c>
      <c r="N103" s="18">
        <v>0.38</v>
      </c>
      <c r="O103" s="18">
        <v>10</v>
      </c>
      <c r="P103" s="18">
        <v>-8.7690000000000001</v>
      </c>
      <c r="Q103" s="18">
        <v>0</v>
      </c>
      <c r="R103" s="18">
        <v>4.7699999999999999E-2</v>
      </c>
      <c r="S103" s="18">
        <v>0.76200000000000001</v>
      </c>
      <c r="T103" s="18">
        <v>0</v>
      </c>
      <c r="U103" s="18">
        <v>0.26200000000000001</v>
      </c>
      <c r="V103" s="18">
        <v>0.61699999999999999</v>
      </c>
      <c r="W103" s="18">
        <v>114.99</v>
      </c>
      <c r="X103" s="18">
        <v>4</v>
      </c>
      <c r="Y103" s="19" t="s">
        <v>4</v>
      </c>
    </row>
    <row r="104" spans="1:25" x14ac:dyDescent="0.3">
      <c r="A104" s="14" t="s">
        <v>312</v>
      </c>
      <c r="B104" s="15" t="s">
        <v>164</v>
      </c>
      <c r="C104" s="15" t="s">
        <v>313</v>
      </c>
      <c r="D104" s="15" t="s">
        <v>314</v>
      </c>
      <c r="E104" s="15" t="str">
        <f t="shared" si="4"/>
        <v>Average</v>
      </c>
      <c r="F104" s="15">
        <v>59</v>
      </c>
      <c r="G104" s="30">
        <f t="shared" si="5"/>
        <v>33.104333333333336</v>
      </c>
      <c r="H104" s="15">
        <v>198626</v>
      </c>
      <c r="I104" s="15" t="str">
        <f t="shared" si="6"/>
        <v>Clean</v>
      </c>
      <c r="J104" s="15" t="b">
        <v>0</v>
      </c>
      <c r="K104" s="15" t="str">
        <f t="shared" si="7"/>
        <v>Moderate</v>
      </c>
      <c r="L104" s="15">
        <v>0.52</v>
      </c>
      <c r="M104" s="15" t="str">
        <f t="shared" si="8"/>
        <v>Low Energy</v>
      </c>
      <c r="N104" s="15">
        <v>0.27900000000000003</v>
      </c>
      <c r="O104" s="15">
        <v>5</v>
      </c>
      <c r="P104" s="15">
        <v>-10.739000000000001</v>
      </c>
      <c r="Q104" s="15">
        <v>0</v>
      </c>
      <c r="R104" s="15">
        <v>5.4699999999999999E-2</v>
      </c>
      <c r="S104" s="15">
        <v>0.89400000000000002</v>
      </c>
      <c r="T104" s="15">
        <v>1.05E-4</v>
      </c>
      <c r="U104" s="15">
        <v>0.10299999999999999</v>
      </c>
      <c r="V104" s="15">
        <v>9.5100000000000004E-2</v>
      </c>
      <c r="W104" s="15">
        <v>69.641999999999996</v>
      </c>
      <c r="X104" s="15">
        <v>4</v>
      </c>
      <c r="Y104" s="16" t="s">
        <v>4</v>
      </c>
    </row>
    <row r="105" spans="1:25" x14ac:dyDescent="0.3">
      <c r="A105" s="17" t="s">
        <v>315</v>
      </c>
      <c r="B105" s="18" t="s">
        <v>316</v>
      </c>
      <c r="C105" s="18" t="s">
        <v>77</v>
      </c>
      <c r="D105" s="18" t="s">
        <v>317</v>
      </c>
      <c r="E105" s="18" t="str">
        <f t="shared" si="4"/>
        <v>Average</v>
      </c>
      <c r="F105" s="18">
        <v>57</v>
      </c>
      <c r="G105" s="30">
        <f t="shared" si="5"/>
        <v>48.761000000000003</v>
      </c>
      <c r="H105" s="18">
        <v>292566</v>
      </c>
      <c r="I105" s="18" t="str">
        <f t="shared" si="6"/>
        <v>Clean</v>
      </c>
      <c r="J105" s="18" t="b">
        <v>0</v>
      </c>
      <c r="K105" s="18" t="str">
        <f t="shared" si="7"/>
        <v>Moderate</v>
      </c>
      <c r="L105" s="18">
        <v>0.54500000000000004</v>
      </c>
      <c r="M105" s="18" t="str">
        <f t="shared" si="8"/>
        <v>Medium Energy</v>
      </c>
      <c r="N105" s="18">
        <v>0.65800000000000003</v>
      </c>
      <c r="O105" s="18">
        <v>1</v>
      </c>
      <c r="P105" s="18">
        <v>-7.1740000000000004</v>
      </c>
      <c r="Q105" s="18">
        <v>1</v>
      </c>
      <c r="R105" s="18">
        <v>4.7399999999999998E-2</v>
      </c>
      <c r="S105" s="18">
        <v>0.496</v>
      </c>
      <c r="T105" s="18">
        <v>0</v>
      </c>
      <c r="U105" s="18">
        <v>0.105</v>
      </c>
      <c r="V105" s="18">
        <v>0.68300000000000005</v>
      </c>
      <c r="W105" s="18">
        <v>76.971000000000004</v>
      </c>
      <c r="X105" s="18">
        <v>4</v>
      </c>
      <c r="Y105" s="19" t="s">
        <v>4</v>
      </c>
    </row>
    <row r="106" spans="1:25" x14ac:dyDescent="0.3">
      <c r="A106" s="14" t="s">
        <v>318</v>
      </c>
      <c r="B106" s="15" t="s">
        <v>319</v>
      </c>
      <c r="C106" s="15" t="s">
        <v>320</v>
      </c>
      <c r="D106" s="15" t="s">
        <v>320</v>
      </c>
      <c r="E106" s="15" t="str">
        <f t="shared" si="4"/>
        <v>Popular</v>
      </c>
      <c r="F106" s="15">
        <v>60</v>
      </c>
      <c r="G106" s="30">
        <f t="shared" si="5"/>
        <v>33.169833333333337</v>
      </c>
      <c r="H106" s="15">
        <v>199019</v>
      </c>
      <c r="I106" s="15" t="str">
        <f t="shared" si="6"/>
        <v>Clean</v>
      </c>
      <c r="J106" s="15" t="b">
        <v>0</v>
      </c>
      <c r="K106" s="15" t="str">
        <f t="shared" si="7"/>
        <v>Very Danceable</v>
      </c>
      <c r="L106" s="15">
        <v>0.72799999999999998</v>
      </c>
      <c r="M106" s="15" t="str">
        <f t="shared" si="8"/>
        <v>Low Energy</v>
      </c>
      <c r="N106" s="15">
        <v>0.26600000000000001</v>
      </c>
      <c r="O106" s="15">
        <v>8</v>
      </c>
      <c r="P106" s="15">
        <v>-7.3220000000000001</v>
      </c>
      <c r="Q106" s="15">
        <v>1</v>
      </c>
      <c r="R106" s="15">
        <v>2.93E-2</v>
      </c>
      <c r="S106" s="15">
        <v>0.872</v>
      </c>
      <c r="T106" s="20" t="s">
        <v>321</v>
      </c>
      <c r="U106" s="15">
        <v>0.114</v>
      </c>
      <c r="V106" s="15">
        <v>0.307</v>
      </c>
      <c r="W106" s="15">
        <v>115.18899999999999</v>
      </c>
      <c r="X106" s="15">
        <v>4</v>
      </c>
      <c r="Y106" s="16" t="s">
        <v>4</v>
      </c>
    </row>
    <row r="107" spans="1:25" x14ac:dyDescent="0.3">
      <c r="A107" s="17" t="s">
        <v>322</v>
      </c>
      <c r="B107" s="18" t="s">
        <v>323</v>
      </c>
      <c r="C107" s="18" t="s">
        <v>324</v>
      </c>
      <c r="D107" s="18" t="s">
        <v>325</v>
      </c>
      <c r="E107" s="18" t="str">
        <f t="shared" si="4"/>
        <v>Popular</v>
      </c>
      <c r="F107" s="18">
        <v>61</v>
      </c>
      <c r="G107" s="30">
        <f t="shared" si="5"/>
        <v>30.293333333333333</v>
      </c>
      <c r="H107" s="18">
        <v>181760</v>
      </c>
      <c r="I107" s="18" t="str">
        <f t="shared" si="6"/>
        <v>Clean</v>
      </c>
      <c r="J107" s="18" t="b">
        <v>0</v>
      </c>
      <c r="K107" s="18" t="str">
        <f t="shared" si="7"/>
        <v>Moderate</v>
      </c>
      <c r="L107" s="18">
        <v>0.66</v>
      </c>
      <c r="M107" s="18" t="str">
        <f t="shared" si="8"/>
        <v>Medium Energy</v>
      </c>
      <c r="N107" s="18">
        <v>0.40699999999999997</v>
      </c>
      <c r="O107" s="18">
        <v>7</v>
      </c>
      <c r="P107" s="18">
        <v>-8.3810000000000002</v>
      </c>
      <c r="Q107" s="18">
        <v>1</v>
      </c>
      <c r="R107" s="18">
        <v>5.7099999999999998E-2</v>
      </c>
      <c r="S107" s="18">
        <v>0.23599999999999999</v>
      </c>
      <c r="T107" s="18">
        <v>0</v>
      </c>
      <c r="U107" s="18">
        <v>0.109</v>
      </c>
      <c r="V107" s="18">
        <v>0.25700000000000001</v>
      </c>
      <c r="W107" s="18">
        <v>133.86000000000001</v>
      </c>
      <c r="X107" s="18">
        <v>4</v>
      </c>
      <c r="Y107" s="19" t="s">
        <v>4</v>
      </c>
    </row>
    <row r="108" spans="1:25" x14ac:dyDescent="0.3">
      <c r="A108" s="14" t="s">
        <v>326</v>
      </c>
      <c r="B108" s="15" t="s">
        <v>327</v>
      </c>
      <c r="C108" s="15" t="s">
        <v>328</v>
      </c>
      <c r="D108" s="15" t="s">
        <v>329</v>
      </c>
      <c r="E108" s="15" t="str">
        <f t="shared" si="4"/>
        <v>Average</v>
      </c>
      <c r="F108" s="15">
        <v>49</v>
      </c>
      <c r="G108" s="30">
        <f t="shared" si="5"/>
        <v>58.32</v>
      </c>
      <c r="H108" s="15">
        <v>349920</v>
      </c>
      <c r="I108" s="15" t="str">
        <f t="shared" si="6"/>
        <v>Clean</v>
      </c>
      <c r="J108" s="15" t="b">
        <v>0</v>
      </c>
      <c r="K108" s="15" t="str">
        <f t="shared" si="7"/>
        <v>Low</v>
      </c>
      <c r="L108" s="15">
        <v>0.35699999999999998</v>
      </c>
      <c r="M108" s="15" t="str">
        <f t="shared" si="8"/>
        <v>Low Energy</v>
      </c>
      <c r="N108" s="15">
        <v>0.161</v>
      </c>
      <c r="O108" s="15">
        <v>8</v>
      </c>
      <c r="P108" s="15">
        <v>-10.667</v>
      </c>
      <c r="Q108" s="15">
        <v>1</v>
      </c>
      <c r="R108" s="15">
        <v>3.8800000000000001E-2</v>
      </c>
      <c r="S108" s="15">
        <v>0.97099999999999997</v>
      </c>
      <c r="T108" s="20" t="s">
        <v>330</v>
      </c>
      <c r="U108" s="15">
        <v>0.35799999999999998</v>
      </c>
      <c r="V108" s="15">
        <v>0.32500000000000001</v>
      </c>
      <c r="W108" s="15">
        <v>83.448999999999998</v>
      </c>
      <c r="X108" s="15">
        <v>4</v>
      </c>
      <c r="Y108" s="16" t="s">
        <v>4</v>
      </c>
    </row>
    <row r="109" spans="1:25" x14ac:dyDescent="0.3">
      <c r="A109" s="17" t="s">
        <v>331</v>
      </c>
      <c r="B109" s="18" t="s">
        <v>332</v>
      </c>
      <c r="C109" s="18" t="s">
        <v>333</v>
      </c>
      <c r="D109" s="18" t="s">
        <v>334</v>
      </c>
      <c r="E109" s="18" t="str">
        <f t="shared" si="4"/>
        <v>Average</v>
      </c>
      <c r="F109" s="18">
        <v>55</v>
      </c>
      <c r="G109" s="30">
        <f t="shared" si="5"/>
        <v>34.162166666666664</v>
      </c>
      <c r="H109" s="18">
        <v>204973</v>
      </c>
      <c r="I109" s="18" t="str">
        <f t="shared" si="6"/>
        <v>Clean</v>
      </c>
      <c r="J109" s="18" t="b">
        <v>0</v>
      </c>
      <c r="K109" s="18" t="str">
        <f t="shared" si="7"/>
        <v>Moderate</v>
      </c>
      <c r="L109" s="18">
        <v>0.47899999999999998</v>
      </c>
      <c r="M109" s="18" t="str">
        <f t="shared" si="8"/>
        <v>Low Energy</v>
      </c>
      <c r="N109" s="18">
        <v>0.154</v>
      </c>
      <c r="O109" s="18">
        <v>2</v>
      </c>
      <c r="P109" s="18">
        <v>-11.282</v>
      </c>
      <c r="Q109" s="18">
        <v>1</v>
      </c>
      <c r="R109" s="18">
        <v>3.5200000000000002E-2</v>
      </c>
      <c r="S109" s="18">
        <v>0.91500000000000004</v>
      </c>
      <c r="T109" s="18">
        <v>0</v>
      </c>
      <c r="U109" s="18">
        <v>9.74E-2</v>
      </c>
      <c r="V109" s="18">
        <v>0.36</v>
      </c>
      <c r="W109" s="18">
        <v>147.20699999999999</v>
      </c>
      <c r="X109" s="18">
        <v>4</v>
      </c>
      <c r="Y109" s="19" t="s">
        <v>4</v>
      </c>
    </row>
    <row r="110" spans="1:25" x14ac:dyDescent="0.3">
      <c r="A110" s="14" t="s">
        <v>335</v>
      </c>
      <c r="B110" s="15" t="s">
        <v>336</v>
      </c>
      <c r="C110" s="15" t="s">
        <v>337</v>
      </c>
      <c r="D110" s="15" t="s">
        <v>337</v>
      </c>
      <c r="E110" s="15" t="str">
        <f t="shared" si="4"/>
        <v>Average</v>
      </c>
      <c r="F110" s="15">
        <v>51</v>
      </c>
      <c r="G110" s="30">
        <f t="shared" si="5"/>
        <v>53.691000000000003</v>
      </c>
      <c r="H110" s="15">
        <v>322146</v>
      </c>
      <c r="I110" s="15" t="str">
        <f t="shared" si="6"/>
        <v>Clean</v>
      </c>
      <c r="J110" s="15" t="b">
        <v>0</v>
      </c>
      <c r="K110" s="15" t="str">
        <f t="shared" si="7"/>
        <v>Moderate</v>
      </c>
      <c r="L110" s="15">
        <v>0.59199999999999997</v>
      </c>
      <c r="M110" s="15" t="str">
        <f t="shared" si="8"/>
        <v>High Energy</v>
      </c>
      <c r="N110" s="15">
        <v>0.76900000000000002</v>
      </c>
      <c r="O110" s="15">
        <v>2</v>
      </c>
      <c r="P110" s="15">
        <v>-5.2679999999999998</v>
      </c>
      <c r="Q110" s="15">
        <v>1</v>
      </c>
      <c r="R110" s="15">
        <v>3.1099999999999999E-2</v>
      </c>
      <c r="S110" s="15">
        <v>0.31900000000000001</v>
      </c>
      <c r="T110" s="20" t="s">
        <v>338</v>
      </c>
      <c r="U110" s="15">
        <v>0.13700000000000001</v>
      </c>
      <c r="V110" s="15">
        <v>0.38500000000000001</v>
      </c>
      <c r="W110" s="15">
        <v>102.033</v>
      </c>
      <c r="X110" s="15">
        <v>4</v>
      </c>
      <c r="Y110" s="16" t="s">
        <v>4</v>
      </c>
    </row>
    <row r="111" spans="1:25" x14ac:dyDescent="0.3">
      <c r="A111" s="17" t="s">
        <v>339</v>
      </c>
      <c r="B111" s="18" t="s">
        <v>220</v>
      </c>
      <c r="C111" s="18" t="s">
        <v>340</v>
      </c>
      <c r="D111" s="18" t="s">
        <v>341</v>
      </c>
      <c r="E111" s="18" t="str">
        <f t="shared" si="4"/>
        <v>Average</v>
      </c>
      <c r="F111" s="18">
        <v>46</v>
      </c>
      <c r="G111" s="30">
        <f t="shared" si="5"/>
        <v>35.0625</v>
      </c>
      <c r="H111" s="18">
        <v>210375</v>
      </c>
      <c r="I111" s="18" t="str">
        <f t="shared" si="6"/>
        <v>Clean</v>
      </c>
      <c r="J111" s="18" t="b">
        <v>0</v>
      </c>
      <c r="K111" s="18" t="str">
        <f t="shared" si="7"/>
        <v>Very Danceable</v>
      </c>
      <c r="L111" s="18">
        <v>0.7</v>
      </c>
      <c r="M111" s="18" t="str">
        <f t="shared" si="8"/>
        <v>Medium Energy</v>
      </c>
      <c r="N111" s="18">
        <v>0.45400000000000001</v>
      </c>
      <c r="O111" s="18">
        <v>7</v>
      </c>
      <c r="P111" s="18">
        <v>-10.39</v>
      </c>
      <c r="Q111" s="18">
        <v>0</v>
      </c>
      <c r="R111" s="18">
        <v>3.8800000000000001E-2</v>
      </c>
      <c r="S111" s="18">
        <v>0.55000000000000004</v>
      </c>
      <c r="T111" s="18">
        <v>2.2000000000000001E-3</v>
      </c>
      <c r="U111" s="18">
        <v>0.121</v>
      </c>
      <c r="V111" s="18">
        <v>0.34</v>
      </c>
      <c r="W111" s="18">
        <v>80.010999999999996</v>
      </c>
      <c r="X111" s="18">
        <v>3</v>
      </c>
      <c r="Y111" s="19" t="s">
        <v>4</v>
      </c>
    </row>
    <row r="112" spans="1:25" x14ac:dyDescent="0.3">
      <c r="A112" s="14" t="s">
        <v>342</v>
      </c>
      <c r="B112" s="15" t="s">
        <v>319</v>
      </c>
      <c r="C112" s="15" t="s">
        <v>343</v>
      </c>
      <c r="D112" s="15" t="s">
        <v>344</v>
      </c>
      <c r="E112" s="15" t="str">
        <f t="shared" si="4"/>
        <v>Average</v>
      </c>
      <c r="F112" s="15">
        <v>57</v>
      </c>
      <c r="G112" s="30">
        <f t="shared" si="5"/>
        <v>21.833333333333332</v>
      </c>
      <c r="H112" s="15">
        <v>131000</v>
      </c>
      <c r="I112" s="15" t="str">
        <f t="shared" si="6"/>
        <v>Clean</v>
      </c>
      <c r="J112" s="15" t="b">
        <v>0</v>
      </c>
      <c r="K112" s="15" t="str">
        <f t="shared" si="7"/>
        <v>Moderate</v>
      </c>
      <c r="L112" s="15">
        <v>0.40200000000000002</v>
      </c>
      <c r="M112" s="15" t="str">
        <f t="shared" si="8"/>
        <v>Low Energy</v>
      </c>
      <c r="N112" s="15">
        <v>0.19700000000000001</v>
      </c>
      <c r="O112" s="15">
        <v>5</v>
      </c>
      <c r="P112" s="15">
        <v>-10.775</v>
      </c>
      <c r="Q112" s="15">
        <v>1</v>
      </c>
      <c r="R112" s="15">
        <v>2.9499999999999998E-2</v>
      </c>
      <c r="S112" s="15">
        <v>0.85799999999999998</v>
      </c>
      <c r="T112" s="20" t="s">
        <v>345</v>
      </c>
      <c r="U112" s="15">
        <v>0.114</v>
      </c>
      <c r="V112" s="15">
        <v>0.14799999999999999</v>
      </c>
      <c r="W112" s="15">
        <v>100.044</v>
      </c>
      <c r="X112" s="15">
        <v>3</v>
      </c>
      <c r="Y112" s="16" t="s">
        <v>4</v>
      </c>
    </row>
    <row r="113" spans="1:25" x14ac:dyDescent="0.3">
      <c r="A113" s="17" t="s">
        <v>346</v>
      </c>
      <c r="B113" s="18" t="s">
        <v>164</v>
      </c>
      <c r="C113" s="18" t="s">
        <v>347</v>
      </c>
      <c r="D113" s="18" t="s">
        <v>347</v>
      </c>
      <c r="E113" s="18" t="str">
        <f t="shared" si="4"/>
        <v>Average</v>
      </c>
      <c r="F113" s="18">
        <v>58</v>
      </c>
      <c r="G113" s="30">
        <f t="shared" si="5"/>
        <v>36.421833333333332</v>
      </c>
      <c r="H113" s="18">
        <v>218531</v>
      </c>
      <c r="I113" s="18" t="str">
        <f t="shared" si="6"/>
        <v>Clean</v>
      </c>
      <c r="J113" s="18" t="b">
        <v>0</v>
      </c>
      <c r="K113" s="18" t="str">
        <f t="shared" si="7"/>
        <v>Moderate</v>
      </c>
      <c r="L113" s="18">
        <v>0.50700000000000001</v>
      </c>
      <c r="M113" s="18" t="str">
        <f t="shared" si="8"/>
        <v>Low Energy</v>
      </c>
      <c r="N113" s="18">
        <v>0.378</v>
      </c>
      <c r="O113" s="18">
        <v>9</v>
      </c>
      <c r="P113" s="18">
        <v>-9.0190000000000001</v>
      </c>
      <c r="Q113" s="18">
        <v>1</v>
      </c>
      <c r="R113" s="18">
        <v>3.32E-2</v>
      </c>
      <c r="S113" s="18">
        <v>0.85199999999999998</v>
      </c>
      <c r="T113" s="18">
        <v>2.12E-4</v>
      </c>
      <c r="U113" s="18">
        <v>9.3700000000000006E-2</v>
      </c>
      <c r="V113" s="18">
        <v>8.5000000000000006E-2</v>
      </c>
      <c r="W113" s="18">
        <v>135.86000000000001</v>
      </c>
      <c r="X113" s="18">
        <v>4</v>
      </c>
      <c r="Y113" s="19" t="s">
        <v>4</v>
      </c>
    </row>
    <row r="114" spans="1:25" x14ac:dyDescent="0.3">
      <c r="A114" s="14" t="s">
        <v>348</v>
      </c>
      <c r="B114" s="15" t="s">
        <v>6</v>
      </c>
      <c r="C114" s="15" t="s">
        <v>349</v>
      </c>
      <c r="D114" s="15" t="s">
        <v>349</v>
      </c>
      <c r="E114" s="15" t="str">
        <f t="shared" si="4"/>
        <v>Average</v>
      </c>
      <c r="F114" s="15">
        <v>51</v>
      </c>
      <c r="G114" s="30">
        <f t="shared" si="5"/>
        <v>32.657499999999999</v>
      </c>
      <c r="H114" s="15">
        <v>195945</v>
      </c>
      <c r="I114" s="15" t="str">
        <f t="shared" si="6"/>
        <v>Clean</v>
      </c>
      <c r="J114" s="15" t="b">
        <v>0</v>
      </c>
      <c r="K114" s="15" t="str">
        <f t="shared" si="7"/>
        <v>Moderate</v>
      </c>
      <c r="L114" s="15">
        <v>0.61899999999999999</v>
      </c>
      <c r="M114" s="15" t="str">
        <f t="shared" si="8"/>
        <v>Low Energy</v>
      </c>
      <c r="N114" s="15">
        <v>0.22600000000000001</v>
      </c>
      <c r="O114" s="15">
        <v>4</v>
      </c>
      <c r="P114" s="15">
        <v>-13.452999999999999</v>
      </c>
      <c r="Q114" s="15">
        <v>1</v>
      </c>
      <c r="R114" s="15">
        <v>6.4100000000000004E-2</v>
      </c>
      <c r="S114" s="15">
        <v>0.95899999999999996</v>
      </c>
      <c r="T114" s="20" t="s">
        <v>350</v>
      </c>
      <c r="U114" s="15">
        <v>0.106</v>
      </c>
      <c r="V114" s="15">
        <v>0.188</v>
      </c>
      <c r="W114" s="15">
        <v>124.96</v>
      </c>
      <c r="X114" s="15">
        <v>3</v>
      </c>
      <c r="Y114" s="16" t="s">
        <v>4</v>
      </c>
    </row>
    <row r="115" spans="1:25" x14ac:dyDescent="0.3">
      <c r="A115" s="17" t="s">
        <v>351</v>
      </c>
      <c r="B115" s="18" t="s">
        <v>352</v>
      </c>
      <c r="C115" s="18" t="s">
        <v>353</v>
      </c>
      <c r="D115" s="18" t="s">
        <v>354</v>
      </c>
      <c r="E115" s="18" t="str">
        <f t="shared" si="4"/>
        <v>Popular</v>
      </c>
      <c r="F115" s="18">
        <v>63</v>
      </c>
      <c r="G115" s="30">
        <f t="shared" si="5"/>
        <v>40.988833333333332</v>
      </c>
      <c r="H115" s="18">
        <v>245933</v>
      </c>
      <c r="I115" s="18" t="str">
        <f t="shared" si="6"/>
        <v>Clean</v>
      </c>
      <c r="J115" s="18" t="b">
        <v>0</v>
      </c>
      <c r="K115" s="18" t="str">
        <f t="shared" si="7"/>
        <v>Moderate</v>
      </c>
      <c r="L115" s="18">
        <v>0.40400000000000003</v>
      </c>
      <c r="M115" s="18" t="str">
        <f t="shared" si="8"/>
        <v>Medium Energy</v>
      </c>
      <c r="N115" s="18">
        <v>0.57099999999999995</v>
      </c>
      <c r="O115" s="18">
        <v>0</v>
      </c>
      <c r="P115" s="18">
        <v>-5.069</v>
      </c>
      <c r="Q115" s="18">
        <v>1</v>
      </c>
      <c r="R115" s="18">
        <v>3.0300000000000001E-2</v>
      </c>
      <c r="S115" s="18">
        <v>0.182</v>
      </c>
      <c r="T115" s="21" t="s">
        <v>355</v>
      </c>
      <c r="U115" s="18">
        <v>0.129</v>
      </c>
      <c r="V115" s="18">
        <v>0.28999999999999998</v>
      </c>
      <c r="W115" s="18">
        <v>147.01</v>
      </c>
      <c r="X115" s="18">
        <v>4</v>
      </c>
      <c r="Y115" s="19" t="s">
        <v>4</v>
      </c>
    </row>
    <row r="116" spans="1:25" x14ac:dyDescent="0.3">
      <c r="A116" s="14" t="s">
        <v>356</v>
      </c>
      <c r="B116" s="15" t="s">
        <v>357</v>
      </c>
      <c r="C116" s="15" t="s">
        <v>358</v>
      </c>
      <c r="D116" s="15" t="s">
        <v>358</v>
      </c>
      <c r="E116" s="15" t="str">
        <f t="shared" si="4"/>
        <v>Average</v>
      </c>
      <c r="F116" s="15">
        <v>53</v>
      </c>
      <c r="G116" s="30">
        <f t="shared" si="5"/>
        <v>35.397666666666666</v>
      </c>
      <c r="H116" s="15">
        <v>212386</v>
      </c>
      <c r="I116" s="15" t="str">
        <f t="shared" si="6"/>
        <v>Clean</v>
      </c>
      <c r="J116" s="15" t="b">
        <v>0</v>
      </c>
      <c r="K116" s="15" t="str">
        <f t="shared" si="7"/>
        <v>Moderate</v>
      </c>
      <c r="L116" s="15">
        <v>0.41799999999999998</v>
      </c>
      <c r="M116" s="15" t="str">
        <f t="shared" si="8"/>
        <v>High Energy</v>
      </c>
      <c r="N116" s="15">
        <v>0.79</v>
      </c>
      <c r="O116" s="15">
        <v>4</v>
      </c>
      <c r="P116" s="15">
        <v>-6.5990000000000002</v>
      </c>
      <c r="Q116" s="15">
        <v>0</v>
      </c>
      <c r="R116" s="15">
        <v>5.0599999999999999E-2</v>
      </c>
      <c r="S116" s="15">
        <v>2.8400000000000002E-2</v>
      </c>
      <c r="T116" s="20" t="s">
        <v>359</v>
      </c>
      <c r="U116" s="15">
        <v>0.11700000000000001</v>
      </c>
      <c r="V116" s="15">
        <v>0.19700000000000001</v>
      </c>
      <c r="W116" s="15">
        <v>175.97499999999999</v>
      </c>
      <c r="X116" s="15">
        <v>4</v>
      </c>
      <c r="Y116" s="16" t="s">
        <v>4</v>
      </c>
    </row>
    <row r="117" spans="1:25" x14ac:dyDescent="0.3">
      <c r="A117" s="17" t="s">
        <v>360</v>
      </c>
      <c r="B117" s="18" t="s">
        <v>319</v>
      </c>
      <c r="C117" s="18" t="s">
        <v>72</v>
      </c>
      <c r="D117" s="18" t="s">
        <v>361</v>
      </c>
      <c r="E117" s="18" t="str">
        <f t="shared" si="4"/>
        <v>Popular</v>
      </c>
      <c r="F117" s="18">
        <v>60</v>
      </c>
      <c r="G117" s="30">
        <f t="shared" si="5"/>
        <v>37.527500000000003</v>
      </c>
      <c r="H117" s="18">
        <v>225165</v>
      </c>
      <c r="I117" s="18" t="str">
        <f t="shared" si="6"/>
        <v>Clean</v>
      </c>
      <c r="J117" s="18" t="b">
        <v>0</v>
      </c>
      <c r="K117" s="18" t="str">
        <f t="shared" si="7"/>
        <v>Moderate</v>
      </c>
      <c r="L117" s="18">
        <v>0.63300000000000001</v>
      </c>
      <c r="M117" s="18" t="str">
        <f t="shared" si="8"/>
        <v>Low Energy</v>
      </c>
      <c r="N117" s="18">
        <v>0.29899999999999999</v>
      </c>
      <c r="O117" s="18">
        <v>11</v>
      </c>
      <c r="P117" s="18">
        <v>-7.798</v>
      </c>
      <c r="Q117" s="18">
        <v>1</v>
      </c>
      <c r="R117" s="18">
        <v>3.5299999999999998E-2</v>
      </c>
      <c r="S117" s="18">
        <v>0.83299999999999996</v>
      </c>
      <c r="T117" s="18">
        <v>0</v>
      </c>
      <c r="U117" s="18">
        <v>0.109</v>
      </c>
      <c r="V117" s="18">
        <v>0.34100000000000003</v>
      </c>
      <c r="W117" s="18">
        <v>147.54900000000001</v>
      </c>
      <c r="X117" s="18">
        <v>4</v>
      </c>
      <c r="Y117" s="19" t="s">
        <v>4</v>
      </c>
    </row>
    <row r="118" spans="1:25" x14ac:dyDescent="0.3">
      <c r="A118" s="14" t="s">
        <v>362</v>
      </c>
      <c r="B118" s="15" t="s">
        <v>63</v>
      </c>
      <c r="C118" s="15" t="s">
        <v>363</v>
      </c>
      <c r="D118" s="15" t="s">
        <v>363</v>
      </c>
      <c r="E118" s="15" t="str">
        <f t="shared" si="4"/>
        <v>Average</v>
      </c>
      <c r="F118" s="15">
        <v>47</v>
      </c>
      <c r="G118" s="30">
        <f t="shared" si="5"/>
        <v>18.667999999999999</v>
      </c>
      <c r="H118" s="15">
        <v>112008</v>
      </c>
      <c r="I118" s="15" t="str">
        <f t="shared" si="6"/>
        <v>Clean</v>
      </c>
      <c r="J118" s="15" t="b">
        <v>0</v>
      </c>
      <c r="K118" s="15" t="str">
        <f t="shared" si="7"/>
        <v>Moderate</v>
      </c>
      <c r="L118" s="15">
        <v>0.56499999999999995</v>
      </c>
      <c r="M118" s="15" t="str">
        <f t="shared" si="8"/>
        <v>Low Energy</v>
      </c>
      <c r="N118" s="15">
        <v>3.9199999999999999E-2</v>
      </c>
      <c r="O118" s="15">
        <v>1</v>
      </c>
      <c r="P118" s="15">
        <v>-28.276</v>
      </c>
      <c r="Q118" s="15">
        <v>1</v>
      </c>
      <c r="R118" s="15">
        <v>4.4999999999999998E-2</v>
      </c>
      <c r="S118" s="15">
        <v>0.83499999999999996</v>
      </c>
      <c r="T118" s="15">
        <v>0.183</v>
      </c>
      <c r="U118" s="15">
        <v>0.11700000000000001</v>
      </c>
      <c r="V118" s="15">
        <v>0.60099999999999998</v>
      </c>
      <c r="W118" s="15">
        <v>125.399</v>
      </c>
      <c r="X118" s="15">
        <v>4</v>
      </c>
      <c r="Y118" s="16" t="s">
        <v>4</v>
      </c>
    </row>
    <row r="119" spans="1:25" x14ac:dyDescent="0.3">
      <c r="A119" s="17" t="s">
        <v>364</v>
      </c>
      <c r="B119" s="18" t="s">
        <v>14</v>
      </c>
      <c r="C119" s="18" t="s">
        <v>365</v>
      </c>
      <c r="D119" s="18" t="s">
        <v>365</v>
      </c>
      <c r="E119" s="18" t="str">
        <f t="shared" si="4"/>
        <v>Popular</v>
      </c>
      <c r="F119" s="18">
        <v>60</v>
      </c>
      <c r="G119" s="30">
        <f t="shared" si="5"/>
        <v>20.601500000000001</v>
      </c>
      <c r="H119" s="18">
        <v>123609</v>
      </c>
      <c r="I119" s="18" t="str">
        <f t="shared" si="6"/>
        <v>Clean</v>
      </c>
      <c r="J119" s="18" t="b">
        <v>0</v>
      </c>
      <c r="K119" s="18" t="str">
        <f t="shared" si="7"/>
        <v>Moderate</v>
      </c>
      <c r="L119" s="18">
        <v>0.66400000000000003</v>
      </c>
      <c r="M119" s="18" t="str">
        <f t="shared" si="8"/>
        <v>Low Energy</v>
      </c>
      <c r="N119" s="18">
        <v>7.5499999999999998E-2</v>
      </c>
      <c r="O119" s="18">
        <v>10</v>
      </c>
      <c r="P119" s="18">
        <v>-19.835999999999999</v>
      </c>
      <c r="Q119" s="18">
        <v>1</v>
      </c>
      <c r="R119" s="18">
        <v>3.8899999999999997E-2</v>
      </c>
      <c r="S119" s="18">
        <v>0.91</v>
      </c>
      <c r="T119" s="18">
        <v>0</v>
      </c>
      <c r="U119" s="18">
        <v>0.16400000000000001</v>
      </c>
      <c r="V119" s="18">
        <v>0.57499999999999996</v>
      </c>
      <c r="W119" s="18">
        <v>80.004000000000005</v>
      </c>
      <c r="X119" s="18">
        <v>1</v>
      </c>
      <c r="Y119" s="19" t="s">
        <v>4</v>
      </c>
    </row>
    <row r="120" spans="1:25" x14ac:dyDescent="0.3">
      <c r="A120" s="14" t="s">
        <v>366</v>
      </c>
      <c r="B120" s="15" t="s">
        <v>30</v>
      </c>
      <c r="C120" s="15" t="s">
        <v>45</v>
      </c>
      <c r="D120" s="15" t="s">
        <v>45</v>
      </c>
      <c r="E120" s="15" t="str">
        <f t="shared" si="4"/>
        <v>Popular</v>
      </c>
      <c r="F120" s="15">
        <v>66</v>
      </c>
      <c r="G120" s="30">
        <f t="shared" si="5"/>
        <v>40.027500000000003</v>
      </c>
      <c r="H120" s="15">
        <v>240165</v>
      </c>
      <c r="I120" s="15" t="str">
        <f t="shared" si="6"/>
        <v>Clean</v>
      </c>
      <c r="J120" s="15" t="b">
        <v>0</v>
      </c>
      <c r="K120" s="15" t="str">
        <f t="shared" si="7"/>
        <v>Moderate</v>
      </c>
      <c r="L120" s="15">
        <v>0.58499999999999996</v>
      </c>
      <c r="M120" s="15" t="str">
        <f t="shared" si="8"/>
        <v>Low Energy</v>
      </c>
      <c r="N120" s="15">
        <v>0.30299999999999999</v>
      </c>
      <c r="O120" s="15">
        <v>4</v>
      </c>
      <c r="P120" s="15">
        <v>-10.058</v>
      </c>
      <c r="Q120" s="15">
        <v>1</v>
      </c>
      <c r="R120" s="15">
        <v>3.9800000000000002E-2</v>
      </c>
      <c r="S120" s="15">
        <v>0.69399999999999995</v>
      </c>
      <c r="T120" s="15">
        <v>0</v>
      </c>
      <c r="U120" s="15">
        <v>0.115</v>
      </c>
      <c r="V120" s="15">
        <v>0.14199999999999999</v>
      </c>
      <c r="W120" s="15">
        <v>136.703</v>
      </c>
      <c r="X120" s="15">
        <v>3</v>
      </c>
      <c r="Y120" s="16" t="s">
        <v>4</v>
      </c>
    </row>
    <row r="121" spans="1:25" x14ac:dyDescent="0.3">
      <c r="A121" s="17" t="s">
        <v>367</v>
      </c>
      <c r="B121" s="18" t="s">
        <v>368</v>
      </c>
      <c r="C121" s="18" t="s">
        <v>369</v>
      </c>
      <c r="D121" s="18" t="s">
        <v>369</v>
      </c>
      <c r="E121" s="18" t="str">
        <f t="shared" si="4"/>
        <v>Popular</v>
      </c>
      <c r="F121" s="18">
        <v>67</v>
      </c>
      <c r="G121" s="30">
        <f t="shared" si="5"/>
        <v>44.307166666666667</v>
      </c>
      <c r="H121" s="18">
        <v>265843</v>
      </c>
      <c r="I121" s="18" t="str">
        <f t="shared" si="6"/>
        <v>Clean</v>
      </c>
      <c r="J121" s="18" t="b">
        <v>0</v>
      </c>
      <c r="K121" s="18" t="str">
        <f t="shared" si="7"/>
        <v>Moderate</v>
      </c>
      <c r="L121" s="18">
        <v>0.65</v>
      </c>
      <c r="M121" s="18" t="str">
        <f t="shared" si="8"/>
        <v>Low Energy</v>
      </c>
      <c r="N121" s="18">
        <v>0.27100000000000002</v>
      </c>
      <c r="O121" s="18">
        <v>9</v>
      </c>
      <c r="P121" s="18">
        <v>-11.081</v>
      </c>
      <c r="Q121" s="18">
        <v>1</v>
      </c>
      <c r="R121" s="18">
        <v>3.1399999999999997E-2</v>
      </c>
      <c r="S121" s="18">
        <v>0.79400000000000004</v>
      </c>
      <c r="T121" s="21" t="s">
        <v>370</v>
      </c>
      <c r="U121" s="18">
        <v>0.19600000000000001</v>
      </c>
      <c r="V121" s="18">
        <v>0.21</v>
      </c>
      <c r="W121" s="18">
        <v>78.036000000000001</v>
      </c>
      <c r="X121" s="18">
        <v>4</v>
      </c>
      <c r="Y121" s="19" t="s">
        <v>4</v>
      </c>
    </row>
    <row r="122" spans="1:25" x14ac:dyDescent="0.3">
      <c r="A122" s="14" t="s">
        <v>371</v>
      </c>
      <c r="B122" s="15" t="s">
        <v>372</v>
      </c>
      <c r="C122" s="15" t="s">
        <v>373</v>
      </c>
      <c r="D122" s="15" t="s">
        <v>374</v>
      </c>
      <c r="E122" s="15" t="str">
        <f t="shared" si="4"/>
        <v>Average</v>
      </c>
      <c r="F122" s="15">
        <v>43</v>
      </c>
      <c r="G122" s="30">
        <f t="shared" si="5"/>
        <v>32.365666666666669</v>
      </c>
      <c r="H122" s="15">
        <v>194194</v>
      </c>
      <c r="I122" s="15" t="str">
        <f t="shared" si="6"/>
        <v>Clean</v>
      </c>
      <c r="J122" s="15" t="b">
        <v>0</v>
      </c>
      <c r="K122" s="15" t="str">
        <f t="shared" si="7"/>
        <v>Moderate</v>
      </c>
      <c r="L122" s="15">
        <v>0.53400000000000003</v>
      </c>
      <c r="M122" s="15" t="str">
        <f t="shared" si="8"/>
        <v>Low Energy</v>
      </c>
      <c r="N122" s="15">
        <v>0.21299999999999999</v>
      </c>
      <c r="O122" s="15">
        <v>1</v>
      </c>
      <c r="P122" s="15">
        <v>-8.64</v>
      </c>
      <c r="Q122" s="15">
        <v>1</v>
      </c>
      <c r="R122" s="15">
        <v>2.8299999999999999E-2</v>
      </c>
      <c r="S122" s="15">
        <v>0.88400000000000001</v>
      </c>
      <c r="T122" s="15">
        <v>0</v>
      </c>
      <c r="U122" s="15">
        <v>0.107</v>
      </c>
      <c r="V122" s="15">
        <v>9.98E-2</v>
      </c>
      <c r="W122" s="15">
        <v>98.385000000000005</v>
      </c>
      <c r="X122" s="15">
        <v>4</v>
      </c>
      <c r="Y122" s="16" t="s">
        <v>4</v>
      </c>
    </row>
    <row r="123" spans="1:25" x14ac:dyDescent="0.3">
      <c r="A123" s="17" t="s">
        <v>375</v>
      </c>
      <c r="B123" s="18" t="s">
        <v>376</v>
      </c>
      <c r="C123" s="18" t="s">
        <v>377</v>
      </c>
      <c r="D123" s="18" t="s">
        <v>378</v>
      </c>
      <c r="E123" s="18" t="str">
        <f t="shared" si="4"/>
        <v>Average</v>
      </c>
      <c r="F123" s="18">
        <v>54</v>
      </c>
      <c r="G123" s="30">
        <f t="shared" si="5"/>
        <v>25.766666666666666</v>
      </c>
      <c r="H123" s="18">
        <v>154600</v>
      </c>
      <c r="I123" s="18" t="str">
        <f t="shared" si="6"/>
        <v>Clean</v>
      </c>
      <c r="J123" s="18" t="b">
        <v>0</v>
      </c>
      <c r="K123" s="18" t="str">
        <f t="shared" si="7"/>
        <v>Moderate</v>
      </c>
      <c r="L123" s="18">
        <v>0.45600000000000002</v>
      </c>
      <c r="M123" s="18" t="str">
        <f t="shared" si="8"/>
        <v>Low Energy</v>
      </c>
      <c r="N123" s="18">
        <v>0.38600000000000001</v>
      </c>
      <c r="O123" s="18">
        <v>10</v>
      </c>
      <c r="P123" s="18">
        <v>-10.292999999999999</v>
      </c>
      <c r="Q123" s="18">
        <v>1</v>
      </c>
      <c r="R123" s="18">
        <v>3.2000000000000001E-2</v>
      </c>
      <c r="S123" s="18">
        <v>0.83499999999999996</v>
      </c>
      <c r="T123" s="18">
        <v>0.108</v>
      </c>
      <c r="U123" s="18">
        <v>0.38900000000000001</v>
      </c>
      <c r="V123" s="18">
        <v>0.61199999999999999</v>
      </c>
      <c r="W123" s="18">
        <v>165.733</v>
      </c>
      <c r="X123" s="18">
        <v>4</v>
      </c>
      <c r="Y123" s="19" t="s">
        <v>4</v>
      </c>
    </row>
    <row r="124" spans="1:25" x14ac:dyDescent="0.3">
      <c r="A124" s="14" t="s">
        <v>379</v>
      </c>
      <c r="B124" s="15" t="s">
        <v>380</v>
      </c>
      <c r="C124" s="15" t="s">
        <v>381</v>
      </c>
      <c r="D124" s="15" t="s">
        <v>382</v>
      </c>
      <c r="E124" s="15" t="str">
        <f t="shared" si="4"/>
        <v>Popular</v>
      </c>
      <c r="F124" s="15">
        <v>60</v>
      </c>
      <c r="G124" s="30">
        <f t="shared" si="5"/>
        <v>26.493333333333332</v>
      </c>
      <c r="H124" s="15">
        <v>158960</v>
      </c>
      <c r="I124" s="15" t="str">
        <f t="shared" si="6"/>
        <v>Clean</v>
      </c>
      <c r="J124" s="15" t="b">
        <v>0</v>
      </c>
      <c r="K124" s="15" t="str">
        <f t="shared" si="7"/>
        <v>Moderate</v>
      </c>
      <c r="L124" s="15">
        <v>0.40899999999999997</v>
      </c>
      <c r="M124" s="15" t="str">
        <f t="shared" si="8"/>
        <v>Low Energy</v>
      </c>
      <c r="N124" s="15">
        <v>0.23400000000000001</v>
      </c>
      <c r="O124" s="15">
        <v>3</v>
      </c>
      <c r="P124" s="15">
        <v>-13.711</v>
      </c>
      <c r="Q124" s="15">
        <v>1</v>
      </c>
      <c r="R124" s="15">
        <v>3.2300000000000002E-2</v>
      </c>
      <c r="S124" s="15">
        <v>0.33800000000000002</v>
      </c>
      <c r="T124" s="20" t="s">
        <v>383</v>
      </c>
      <c r="U124" s="15">
        <v>8.9499999999999996E-2</v>
      </c>
      <c r="V124" s="15">
        <v>0.14499999999999999</v>
      </c>
      <c r="W124" s="15">
        <v>139.83199999999999</v>
      </c>
      <c r="X124" s="15">
        <v>4</v>
      </c>
      <c r="Y124" s="16" t="s">
        <v>4</v>
      </c>
    </row>
    <row r="125" spans="1:25" x14ac:dyDescent="0.3">
      <c r="A125" s="17" t="s">
        <v>384</v>
      </c>
      <c r="B125" s="18" t="s">
        <v>37</v>
      </c>
      <c r="C125" s="18" t="s">
        <v>385</v>
      </c>
      <c r="D125" s="18" t="s">
        <v>386</v>
      </c>
      <c r="E125" s="18" t="str">
        <f t="shared" si="4"/>
        <v>Average</v>
      </c>
      <c r="F125" s="18">
        <v>49</v>
      </c>
      <c r="G125" s="30">
        <f t="shared" si="5"/>
        <v>53.166666666666664</v>
      </c>
      <c r="H125" s="18">
        <v>319000</v>
      </c>
      <c r="I125" s="18" t="str">
        <f t="shared" si="6"/>
        <v>Clean</v>
      </c>
      <c r="J125" s="18" t="b">
        <v>0</v>
      </c>
      <c r="K125" s="18" t="str">
        <f t="shared" si="7"/>
        <v>Moderate</v>
      </c>
      <c r="L125" s="18">
        <v>0.502</v>
      </c>
      <c r="M125" s="18" t="str">
        <f t="shared" si="8"/>
        <v>Medium Energy</v>
      </c>
      <c r="N125" s="18">
        <v>0.53</v>
      </c>
      <c r="O125" s="18">
        <v>2</v>
      </c>
      <c r="P125" s="18">
        <v>-9.5730000000000004</v>
      </c>
      <c r="Q125" s="18">
        <v>1</v>
      </c>
      <c r="R125" s="18">
        <v>2.6599999999999999E-2</v>
      </c>
      <c r="S125" s="18">
        <v>0.80500000000000005</v>
      </c>
      <c r="T125" s="18">
        <v>7.3800000000000005E-4</v>
      </c>
      <c r="U125" s="18">
        <v>7.2800000000000004E-2</v>
      </c>
      <c r="V125" s="18">
        <v>0.10199999999999999</v>
      </c>
      <c r="W125" s="18">
        <v>78.046000000000006</v>
      </c>
      <c r="X125" s="18">
        <v>4</v>
      </c>
      <c r="Y125" s="19" t="s">
        <v>4</v>
      </c>
    </row>
    <row r="126" spans="1:25" x14ac:dyDescent="0.3">
      <c r="A126" s="14" t="s">
        <v>387</v>
      </c>
      <c r="B126" s="15" t="s">
        <v>388</v>
      </c>
      <c r="C126" s="15" t="s">
        <v>389</v>
      </c>
      <c r="D126" s="15" t="s">
        <v>389</v>
      </c>
      <c r="E126" s="15" t="str">
        <f t="shared" si="4"/>
        <v>Average</v>
      </c>
      <c r="F126" s="15">
        <v>57</v>
      </c>
      <c r="G126" s="30">
        <f t="shared" si="5"/>
        <v>35.726666666666667</v>
      </c>
      <c r="H126" s="15">
        <v>214360</v>
      </c>
      <c r="I126" s="15" t="str">
        <f t="shared" si="6"/>
        <v>Clean</v>
      </c>
      <c r="J126" s="15" t="b">
        <v>0</v>
      </c>
      <c r="K126" s="15" t="str">
        <f t="shared" si="7"/>
        <v>Moderate</v>
      </c>
      <c r="L126" s="15">
        <v>0.496</v>
      </c>
      <c r="M126" s="15" t="str">
        <f t="shared" si="8"/>
        <v>Low Energy</v>
      </c>
      <c r="N126" s="15">
        <v>0.11700000000000001</v>
      </c>
      <c r="O126" s="15">
        <v>0</v>
      </c>
      <c r="P126" s="15">
        <v>-12.884</v>
      </c>
      <c r="Q126" s="15">
        <v>1</v>
      </c>
      <c r="R126" s="15">
        <v>3.0099999999999998E-2</v>
      </c>
      <c r="S126" s="15">
        <v>0.93300000000000005</v>
      </c>
      <c r="T126" s="15">
        <v>0</v>
      </c>
      <c r="U126" s="15">
        <v>0.126</v>
      </c>
      <c r="V126" s="15">
        <v>0.318</v>
      </c>
      <c r="W126" s="15">
        <v>78.067999999999998</v>
      </c>
      <c r="X126" s="15">
        <v>4</v>
      </c>
      <c r="Y126" s="16" t="s">
        <v>4</v>
      </c>
    </row>
    <row r="127" spans="1:25" x14ac:dyDescent="0.3">
      <c r="A127" s="17" t="s">
        <v>390</v>
      </c>
      <c r="B127" s="18" t="s">
        <v>6</v>
      </c>
      <c r="C127" s="18" t="s">
        <v>391</v>
      </c>
      <c r="D127" s="18" t="s">
        <v>391</v>
      </c>
      <c r="E127" s="18" t="str">
        <f t="shared" si="4"/>
        <v>Average</v>
      </c>
      <c r="F127" s="18">
        <v>42</v>
      </c>
      <c r="G127" s="30">
        <f t="shared" si="5"/>
        <v>34.08</v>
      </c>
      <c r="H127" s="18">
        <v>204480</v>
      </c>
      <c r="I127" s="18" t="str">
        <f t="shared" si="6"/>
        <v>Clean</v>
      </c>
      <c r="J127" s="18" t="b">
        <v>0</v>
      </c>
      <c r="K127" s="18" t="str">
        <f t="shared" si="7"/>
        <v>Moderate</v>
      </c>
      <c r="L127" s="18">
        <v>0.58499999999999996</v>
      </c>
      <c r="M127" s="18" t="str">
        <f t="shared" si="8"/>
        <v>High Energy</v>
      </c>
      <c r="N127" s="18">
        <v>0.72399999999999998</v>
      </c>
      <c r="O127" s="18">
        <v>1</v>
      </c>
      <c r="P127" s="18">
        <v>-6.5129999999999999</v>
      </c>
      <c r="Q127" s="18">
        <v>0</v>
      </c>
      <c r="R127" s="18">
        <v>7.4499999999999997E-2</v>
      </c>
      <c r="S127" s="18">
        <v>0.315</v>
      </c>
      <c r="T127" s="18">
        <v>6.8099999999999994E-2</v>
      </c>
      <c r="U127" s="18">
        <v>4.48E-2</v>
      </c>
      <c r="V127" s="18">
        <v>0.33300000000000002</v>
      </c>
      <c r="W127" s="18">
        <v>187.48400000000001</v>
      </c>
      <c r="X127" s="18">
        <v>3</v>
      </c>
      <c r="Y127" s="19" t="s">
        <v>4</v>
      </c>
    </row>
    <row r="128" spans="1:25" x14ac:dyDescent="0.3">
      <c r="A128" s="14" t="s">
        <v>392</v>
      </c>
      <c r="B128" s="15" t="s">
        <v>393</v>
      </c>
      <c r="C128" s="15" t="s">
        <v>394</v>
      </c>
      <c r="D128" s="15" t="s">
        <v>395</v>
      </c>
      <c r="E128" s="15" t="str">
        <f t="shared" si="4"/>
        <v>Popular</v>
      </c>
      <c r="F128" s="15">
        <v>67</v>
      </c>
      <c r="G128" s="30">
        <f t="shared" si="5"/>
        <v>46.166666666666664</v>
      </c>
      <c r="H128" s="15">
        <v>277000</v>
      </c>
      <c r="I128" s="15" t="str">
        <f t="shared" si="6"/>
        <v>Clean</v>
      </c>
      <c r="J128" s="15" t="b">
        <v>0</v>
      </c>
      <c r="K128" s="15" t="str">
        <f t="shared" si="7"/>
        <v>Moderate</v>
      </c>
      <c r="L128" s="15">
        <v>0.58199999999999996</v>
      </c>
      <c r="M128" s="15" t="str">
        <f t="shared" si="8"/>
        <v>Low Energy</v>
      </c>
      <c r="N128" s="15">
        <v>0.253</v>
      </c>
      <c r="O128" s="15">
        <v>10</v>
      </c>
      <c r="P128" s="15">
        <v>-11.43</v>
      </c>
      <c r="Q128" s="15">
        <v>1</v>
      </c>
      <c r="R128" s="15">
        <v>2.5899999999999999E-2</v>
      </c>
      <c r="S128" s="15">
        <v>0.82699999999999996</v>
      </c>
      <c r="T128" s="20" t="s">
        <v>396</v>
      </c>
      <c r="U128" s="15">
        <v>9.0999999999999998E-2</v>
      </c>
      <c r="V128" s="15">
        <v>0.29399999999999998</v>
      </c>
      <c r="W128" s="15">
        <v>90.186000000000007</v>
      </c>
      <c r="X128" s="15">
        <v>4</v>
      </c>
      <c r="Y128" s="16" t="s">
        <v>4</v>
      </c>
    </row>
    <row r="129" spans="1:25" x14ac:dyDescent="0.3">
      <c r="A129" s="17" t="s">
        <v>397</v>
      </c>
      <c r="B129" s="18" t="s">
        <v>398</v>
      </c>
      <c r="C129" s="18" t="s">
        <v>399</v>
      </c>
      <c r="D129" s="18" t="s">
        <v>400</v>
      </c>
      <c r="E129" s="18" t="str">
        <f t="shared" si="4"/>
        <v>Popular</v>
      </c>
      <c r="F129" s="18">
        <v>61</v>
      </c>
      <c r="G129" s="30">
        <f t="shared" si="5"/>
        <v>35.706666666666663</v>
      </c>
      <c r="H129" s="18">
        <v>214240</v>
      </c>
      <c r="I129" s="18" t="str">
        <f t="shared" si="6"/>
        <v>Clean</v>
      </c>
      <c r="J129" s="18" t="b">
        <v>0</v>
      </c>
      <c r="K129" s="18" t="str">
        <f t="shared" si="7"/>
        <v>Moderate</v>
      </c>
      <c r="L129" s="18">
        <v>0.63700000000000001</v>
      </c>
      <c r="M129" s="18" t="str">
        <f t="shared" si="8"/>
        <v>Low Energy</v>
      </c>
      <c r="N129" s="18">
        <v>0.14000000000000001</v>
      </c>
      <c r="O129" s="18">
        <v>2</v>
      </c>
      <c r="P129" s="18">
        <v>-11.472</v>
      </c>
      <c r="Q129" s="18">
        <v>1</v>
      </c>
      <c r="R129" s="18">
        <v>4.07E-2</v>
      </c>
      <c r="S129" s="18">
        <v>0.90300000000000002</v>
      </c>
      <c r="T129" s="18">
        <v>0</v>
      </c>
      <c r="U129" s="18">
        <v>0.107</v>
      </c>
      <c r="V129" s="18">
        <v>0.39200000000000002</v>
      </c>
      <c r="W129" s="18">
        <v>139.78</v>
      </c>
      <c r="X129" s="18">
        <v>4</v>
      </c>
      <c r="Y129" s="19" t="s">
        <v>4</v>
      </c>
    </row>
    <row r="130" spans="1:25" x14ac:dyDescent="0.3">
      <c r="A130" s="14" t="s">
        <v>401</v>
      </c>
      <c r="B130" s="15" t="s">
        <v>402</v>
      </c>
      <c r="C130" s="15" t="s">
        <v>403</v>
      </c>
      <c r="D130" s="15" t="s">
        <v>404</v>
      </c>
      <c r="E130" s="15" t="str">
        <f t="shared" ref="E130:E193" si="9">IF( F130&gt;=80,"Hit",
IF(F130&gt;=60,"Popular",
IF( F130&gt;=40,"Average","Low")))</f>
        <v>Popular</v>
      </c>
      <c r="F130" s="15">
        <v>71</v>
      </c>
      <c r="G130" s="30">
        <f t="shared" ref="G130:G193" si="10">H130/6000</f>
        <v>35.862166666666667</v>
      </c>
      <c r="H130" s="15">
        <v>215173</v>
      </c>
      <c r="I130" s="15" t="str">
        <f t="shared" ref="I130:I193" si="11">IF(E130=TRUE,"Explicit","Clean")</f>
        <v>Clean</v>
      </c>
      <c r="J130" s="15" t="b">
        <v>0</v>
      </c>
      <c r="K130" s="15" t="str">
        <f t="shared" ref="K130:K193" si="12">IF(L130&gt;=0.7,"Very Danceable",
IF( L130&gt;=0.4,"Moderate","Low"))</f>
        <v>Moderate</v>
      </c>
      <c r="L130" s="15">
        <v>0.67200000000000004</v>
      </c>
      <c r="M130" s="15" t="str">
        <f t="shared" ref="M130:M193" si="13">IF( N130&gt;=0.7,"High Energy",
IF( N130&gt;=0.4,"Medium Energy","Low Energy"))</f>
        <v>Medium Energy</v>
      </c>
      <c r="N130" s="15">
        <v>0.623</v>
      </c>
      <c r="O130" s="15">
        <v>9</v>
      </c>
      <c r="P130" s="15">
        <v>-5.6989999999999998</v>
      </c>
      <c r="Q130" s="15">
        <v>1</v>
      </c>
      <c r="R130" s="15">
        <v>2.9700000000000001E-2</v>
      </c>
      <c r="S130" s="15">
        <v>0.24099999999999999</v>
      </c>
      <c r="T130" s="15">
        <v>0</v>
      </c>
      <c r="U130" s="15">
        <v>8.48E-2</v>
      </c>
      <c r="V130" s="15">
        <v>0.61699999999999999</v>
      </c>
      <c r="W130" s="15">
        <v>92.018000000000001</v>
      </c>
      <c r="X130" s="15">
        <v>4</v>
      </c>
      <c r="Y130" s="16" t="s">
        <v>4</v>
      </c>
    </row>
    <row r="131" spans="1:25" x14ac:dyDescent="0.3">
      <c r="A131" s="17" t="s">
        <v>405</v>
      </c>
      <c r="B131" s="18" t="s">
        <v>406</v>
      </c>
      <c r="C131" s="18" t="s">
        <v>407</v>
      </c>
      <c r="D131" s="18" t="s">
        <v>408</v>
      </c>
      <c r="E131" s="18" t="str">
        <f t="shared" si="9"/>
        <v>Average</v>
      </c>
      <c r="F131" s="18">
        <v>49</v>
      </c>
      <c r="G131" s="30">
        <f t="shared" si="10"/>
        <v>49.476999999999997</v>
      </c>
      <c r="H131" s="18">
        <v>296862</v>
      </c>
      <c r="I131" s="18" t="str">
        <f t="shared" si="11"/>
        <v>Clean</v>
      </c>
      <c r="J131" s="18" t="b">
        <v>0</v>
      </c>
      <c r="K131" s="18" t="str">
        <f t="shared" si="12"/>
        <v>Moderate</v>
      </c>
      <c r="L131" s="18">
        <v>0.42199999999999999</v>
      </c>
      <c r="M131" s="18" t="str">
        <f t="shared" si="13"/>
        <v>Low Energy</v>
      </c>
      <c r="N131" s="18">
        <v>0.27200000000000002</v>
      </c>
      <c r="O131" s="18">
        <v>4</v>
      </c>
      <c r="P131" s="18">
        <v>-10.772</v>
      </c>
      <c r="Q131" s="18">
        <v>0</v>
      </c>
      <c r="R131" s="18">
        <v>3.5299999999999998E-2</v>
      </c>
      <c r="S131" s="18">
        <v>0.496</v>
      </c>
      <c r="T131" s="21" t="s">
        <v>409</v>
      </c>
      <c r="U131" s="18">
        <v>7.0400000000000004E-2</v>
      </c>
      <c r="V131" s="18">
        <v>0.113</v>
      </c>
      <c r="W131" s="18">
        <v>143.41300000000001</v>
      </c>
      <c r="X131" s="18">
        <v>4</v>
      </c>
      <c r="Y131" s="19" t="s">
        <v>4</v>
      </c>
    </row>
    <row r="132" spans="1:25" x14ac:dyDescent="0.3">
      <c r="A132" s="14" t="s">
        <v>410</v>
      </c>
      <c r="B132" s="15" t="s">
        <v>411</v>
      </c>
      <c r="C132" s="15" t="s">
        <v>412</v>
      </c>
      <c r="D132" s="15" t="s">
        <v>413</v>
      </c>
      <c r="E132" s="15" t="str">
        <f t="shared" si="9"/>
        <v>Popular</v>
      </c>
      <c r="F132" s="15">
        <v>61</v>
      </c>
      <c r="G132" s="30">
        <f t="shared" si="10"/>
        <v>39.302166666666665</v>
      </c>
      <c r="H132" s="15">
        <v>235813</v>
      </c>
      <c r="I132" s="15" t="str">
        <f t="shared" si="11"/>
        <v>Clean</v>
      </c>
      <c r="J132" s="15" t="b">
        <v>0</v>
      </c>
      <c r="K132" s="15" t="str">
        <f t="shared" si="12"/>
        <v>Moderate</v>
      </c>
      <c r="L132" s="15">
        <v>0.47</v>
      </c>
      <c r="M132" s="15" t="str">
        <f t="shared" si="13"/>
        <v>High Energy</v>
      </c>
      <c r="N132" s="15">
        <v>0.80100000000000005</v>
      </c>
      <c r="O132" s="15">
        <v>9</v>
      </c>
      <c r="P132" s="15">
        <v>-6.4260000000000002</v>
      </c>
      <c r="Q132" s="15">
        <v>1</v>
      </c>
      <c r="R132" s="15">
        <v>3.5200000000000002E-2</v>
      </c>
      <c r="S132" s="15">
        <v>7.5800000000000006E-2</v>
      </c>
      <c r="T132" s="20" t="s">
        <v>414</v>
      </c>
      <c r="U132" s="15">
        <v>0.218</v>
      </c>
      <c r="V132" s="15">
        <v>0.43099999999999999</v>
      </c>
      <c r="W132" s="15">
        <v>173.92</v>
      </c>
      <c r="X132" s="15">
        <v>4</v>
      </c>
      <c r="Y132" s="16" t="s">
        <v>4</v>
      </c>
    </row>
    <row r="133" spans="1:25" x14ac:dyDescent="0.3">
      <c r="A133" s="17" t="s">
        <v>415</v>
      </c>
      <c r="B133" s="18" t="s">
        <v>411</v>
      </c>
      <c r="C133" s="18" t="s">
        <v>416</v>
      </c>
      <c r="D133" s="18" t="s">
        <v>417</v>
      </c>
      <c r="E133" s="18" t="str">
        <f t="shared" si="9"/>
        <v>Popular</v>
      </c>
      <c r="F133" s="18">
        <v>61</v>
      </c>
      <c r="G133" s="30">
        <f t="shared" si="10"/>
        <v>38.155500000000004</v>
      </c>
      <c r="H133" s="18">
        <v>228933</v>
      </c>
      <c r="I133" s="18" t="str">
        <f t="shared" si="11"/>
        <v>Clean</v>
      </c>
      <c r="J133" s="18" t="b">
        <v>0</v>
      </c>
      <c r="K133" s="18" t="str">
        <f t="shared" si="12"/>
        <v>Moderate</v>
      </c>
      <c r="L133" s="18">
        <v>0.56399999999999995</v>
      </c>
      <c r="M133" s="18" t="str">
        <f t="shared" si="13"/>
        <v>High Energy</v>
      </c>
      <c r="N133" s="18">
        <v>0.86399999999999999</v>
      </c>
      <c r="O133" s="18">
        <v>4</v>
      </c>
      <c r="P133" s="18">
        <v>-5.1210000000000004</v>
      </c>
      <c r="Q133" s="18">
        <v>1</v>
      </c>
      <c r="R133" s="18">
        <v>3.4099999999999998E-2</v>
      </c>
      <c r="S133" s="18">
        <v>7.6100000000000001E-2</v>
      </c>
      <c r="T133" s="18">
        <v>0</v>
      </c>
      <c r="U133" s="18">
        <v>0.182</v>
      </c>
      <c r="V133" s="18">
        <v>0.53400000000000003</v>
      </c>
      <c r="W133" s="18">
        <v>95.983999999999995</v>
      </c>
      <c r="X133" s="18">
        <v>4</v>
      </c>
      <c r="Y133" s="19" t="s">
        <v>4</v>
      </c>
    </row>
    <row r="134" spans="1:25" x14ac:dyDescent="0.3">
      <c r="A134" s="14" t="s">
        <v>418</v>
      </c>
      <c r="B134" s="15" t="s">
        <v>30</v>
      </c>
      <c r="C134" s="15" t="s">
        <v>419</v>
      </c>
      <c r="D134" s="15" t="s">
        <v>420</v>
      </c>
      <c r="E134" s="15" t="str">
        <f t="shared" si="9"/>
        <v>Low</v>
      </c>
      <c r="F134" s="15">
        <v>20</v>
      </c>
      <c r="G134" s="30">
        <f t="shared" si="10"/>
        <v>56.532666666666664</v>
      </c>
      <c r="H134" s="15">
        <v>339196</v>
      </c>
      <c r="I134" s="15" t="str">
        <f t="shared" si="11"/>
        <v>Clean</v>
      </c>
      <c r="J134" s="15" t="b">
        <v>0</v>
      </c>
      <c r="K134" s="15" t="str">
        <f t="shared" si="12"/>
        <v>Moderate</v>
      </c>
      <c r="L134" s="15">
        <v>0.52100000000000002</v>
      </c>
      <c r="M134" s="15" t="str">
        <f t="shared" si="13"/>
        <v>Medium Energy</v>
      </c>
      <c r="N134" s="15">
        <v>0.495</v>
      </c>
      <c r="O134" s="15">
        <v>5</v>
      </c>
      <c r="P134" s="15">
        <v>-7.7560000000000002</v>
      </c>
      <c r="Q134" s="15">
        <v>1</v>
      </c>
      <c r="R134" s="15">
        <v>2.7E-2</v>
      </c>
      <c r="S134" s="15">
        <v>0.128</v>
      </c>
      <c r="T134" s="15">
        <v>0</v>
      </c>
      <c r="U134" s="15">
        <v>0.29599999999999999</v>
      </c>
      <c r="V134" s="15">
        <v>0.11600000000000001</v>
      </c>
      <c r="W134" s="15">
        <v>135.06100000000001</v>
      </c>
      <c r="X134" s="15">
        <v>4</v>
      </c>
      <c r="Y134" s="16" t="s">
        <v>4</v>
      </c>
    </row>
    <row r="135" spans="1:25" x14ac:dyDescent="0.3">
      <c r="A135" s="17" t="s">
        <v>421</v>
      </c>
      <c r="B135" s="18" t="s">
        <v>30</v>
      </c>
      <c r="C135" s="18" t="s">
        <v>419</v>
      </c>
      <c r="D135" s="18" t="s">
        <v>422</v>
      </c>
      <c r="E135" s="18" t="str">
        <f t="shared" si="9"/>
        <v>Low</v>
      </c>
      <c r="F135" s="18">
        <v>22</v>
      </c>
      <c r="G135" s="30">
        <f t="shared" si="10"/>
        <v>49.473833333333332</v>
      </c>
      <c r="H135" s="18">
        <v>296843</v>
      </c>
      <c r="I135" s="18" t="str">
        <f t="shared" si="11"/>
        <v>Clean</v>
      </c>
      <c r="J135" s="18" t="b">
        <v>0</v>
      </c>
      <c r="K135" s="18" t="str">
        <f t="shared" si="12"/>
        <v>Moderate</v>
      </c>
      <c r="L135" s="18">
        <v>0.61599999999999999</v>
      </c>
      <c r="M135" s="18" t="str">
        <f t="shared" si="13"/>
        <v>High Energy</v>
      </c>
      <c r="N135" s="18">
        <v>0.81</v>
      </c>
      <c r="O135" s="18">
        <v>2</v>
      </c>
      <c r="P135" s="18">
        <v>-6.51</v>
      </c>
      <c r="Q135" s="18">
        <v>1</v>
      </c>
      <c r="R135" s="18">
        <v>6.6799999999999998E-2</v>
      </c>
      <c r="S135" s="18">
        <v>0.36899999999999999</v>
      </c>
      <c r="T135" s="18">
        <v>0</v>
      </c>
      <c r="U135" s="18">
        <v>0.107</v>
      </c>
      <c r="V135" s="18">
        <v>0.79</v>
      </c>
      <c r="W135" s="18">
        <v>97.994</v>
      </c>
      <c r="X135" s="18">
        <v>4</v>
      </c>
      <c r="Y135" s="19" t="s">
        <v>4</v>
      </c>
    </row>
    <row r="136" spans="1:25" x14ac:dyDescent="0.3">
      <c r="A136" s="14" t="s">
        <v>423</v>
      </c>
      <c r="B136" s="15" t="s">
        <v>30</v>
      </c>
      <c r="C136" s="15" t="s">
        <v>419</v>
      </c>
      <c r="D136" s="15" t="s">
        <v>424</v>
      </c>
      <c r="E136" s="15" t="str">
        <f t="shared" si="9"/>
        <v>Low</v>
      </c>
      <c r="F136" s="15">
        <v>35</v>
      </c>
      <c r="G136" s="30">
        <f t="shared" si="10"/>
        <v>36.373333333333335</v>
      </c>
      <c r="H136" s="15">
        <v>218240</v>
      </c>
      <c r="I136" s="15" t="str">
        <f t="shared" si="11"/>
        <v>Clean</v>
      </c>
      <c r="J136" s="15" t="b">
        <v>0</v>
      </c>
      <c r="K136" s="15" t="str">
        <f t="shared" si="12"/>
        <v>Moderate</v>
      </c>
      <c r="L136" s="15">
        <v>0.61499999999999999</v>
      </c>
      <c r="M136" s="15" t="str">
        <f t="shared" si="13"/>
        <v>High Energy</v>
      </c>
      <c r="N136" s="15">
        <v>0.81200000000000006</v>
      </c>
      <c r="O136" s="15">
        <v>7</v>
      </c>
      <c r="P136" s="15">
        <v>-6.5730000000000004</v>
      </c>
      <c r="Q136" s="15">
        <v>1</v>
      </c>
      <c r="R136" s="15">
        <v>4.58E-2</v>
      </c>
      <c r="S136" s="15">
        <v>0.184</v>
      </c>
      <c r="T136" s="15">
        <v>0</v>
      </c>
      <c r="U136" s="15">
        <v>0.32800000000000001</v>
      </c>
      <c r="V136" s="15">
        <v>0.74</v>
      </c>
      <c r="W136" s="15">
        <v>98.953999999999994</v>
      </c>
      <c r="X136" s="15">
        <v>4</v>
      </c>
      <c r="Y136" s="16" t="s">
        <v>4</v>
      </c>
    </row>
    <row r="137" spans="1:25" x14ac:dyDescent="0.3">
      <c r="A137" s="17" t="s">
        <v>425</v>
      </c>
      <c r="B137" s="18" t="s">
        <v>129</v>
      </c>
      <c r="C137" s="18" t="s">
        <v>265</v>
      </c>
      <c r="D137" s="18" t="s">
        <v>426</v>
      </c>
      <c r="E137" s="18" t="str">
        <f t="shared" si="9"/>
        <v>Popular</v>
      </c>
      <c r="F137" s="18">
        <v>60</v>
      </c>
      <c r="G137" s="30">
        <f t="shared" si="10"/>
        <v>25.295500000000001</v>
      </c>
      <c r="H137" s="18">
        <v>151773</v>
      </c>
      <c r="I137" s="18" t="str">
        <f t="shared" si="11"/>
        <v>Clean</v>
      </c>
      <c r="J137" s="18" t="b">
        <v>0</v>
      </c>
      <c r="K137" s="18" t="str">
        <f t="shared" si="12"/>
        <v>Moderate</v>
      </c>
      <c r="L137" s="18">
        <v>0.47799999999999998</v>
      </c>
      <c r="M137" s="18" t="str">
        <f t="shared" si="13"/>
        <v>Low Energy</v>
      </c>
      <c r="N137" s="18">
        <v>0.30499999999999999</v>
      </c>
      <c r="O137" s="18">
        <v>5</v>
      </c>
      <c r="P137" s="18">
        <v>-13.061999999999999</v>
      </c>
      <c r="Q137" s="18">
        <v>1</v>
      </c>
      <c r="R137" s="18">
        <v>3.0599999999999999E-2</v>
      </c>
      <c r="S137" s="18">
        <v>0.67500000000000004</v>
      </c>
      <c r="T137" s="18">
        <v>1.39E-3</v>
      </c>
      <c r="U137" s="18">
        <v>0.16900000000000001</v>
      </c>
      <c r="V137" s="18">
        <v>9.74E-2</v>
      </c>
      <c r="W137" s="18">
        <v>108.66</v>
      </c>
      <c r="X137" s="18">
        <v>4</v>
      </c>
      <c r="Y137" s="19" t="s">
        <v>4</v>
      </c>
    </row>
    <row r="138" spans="1:25" x14ac:dyDescent="0.3">
      <c r="A138" s="14" t="s">
        <v>427</v>
      </c>
      <c r="B138" s="15" t="s">
        <v>258</v>
      </c>
      <c r="C138" s="15" t="s">
        <v>428</v>
      </c>
      <c r="D138" s="15" t="s">
        <v>269</v>
      </c>
      <c r="E138" s="15" t="str">
        <f t="shared" si="9"/>
        <v>Average</v>
      </c>
      <c r="F138" s="15">
        <v>59</v>
      </c>
      <c r="G138" s="30">
        <f t="shared" si="10"/>
        <v>30.233333333333334</v>
      </c>
      <c r="H138" s="15">
        <v>181400</v>
      </c>
      <c r="I138" s="15" t="str">
        <f t="shared" si="11"/>
        <v>Clean</v>
      </c>
      <c r="J138" s="15" t="b">
        <v>0</v>
      </c>
      <c r="K138" s="15" t="str">
        <f t="shared" si="12"/>
        <v>Moderate</v>
      </c>
      <c r="L138" s="15">
        <v>0.47899999999999998</v>
      </c>
      <c r="M138" s="15" t="str">
        <f t="shared" si="13"/>
        <v>Medium Energy</v>
      </c>
      <c r="N138" s="15">
        <v>0.54100000000000004</v>
      </c>
      <c r="O138" s="15">
        <v>0</v>
      </c>
      <c r="P138" s="15">
        <v>-9.8620000000000001</v>
      </c>
      <c r="Q138" s="15">
        <v>1</v>
      </c>
      <c r="R138" s="15">
        <v>5.45E-2</v>
      </c>
      <c r="S138" s="15">
        <v>0.73699999999999999</v>
      </c>
      <c r="T138" s="15">
        <v>0</v>
      </c>
      <c r="U138" s="15">
        <v>0.108</v>
      </c>
      <c r="V138" s="15">
        <v>0.32100000000000001</v>
      </c>
      <c r="W138" s="15">
        <v>85.994</v>
      </c>
      <c r="X138" s="15">
        <v>4</v>
      </c>
      <c r="Y138" s="16" t="s">
        <v>4</v>
      </c>
    </row>
    <row r="139" spans="1:25" x14ac:dyDescent="0.3">
      <c r="A139" s="17" t="s">
        <v>429</v>
      </c>
      <c r="B139" s="18" t="s">
        <v>115</v>
      </c>
      <c r="C139" s="18" t="s">
        <v>430</v>
      </c>
      <c r="D139" s="18" t="s">
        <v>304</v>
      </c>
      <c r="E139" s="18" t="str">
        <f t="shared" si="9"/>
        <v>Popular</v>
      </c>
      <c r="F139" s="18">
        <v>73</v>
      </c>
      <c r="G139" s="30">
        <f t="shared" si="10"/>
        <v>33.617666666666665</v>
      </c>
      <c r="H139" s="18">
        <v>201706</v>
      </c>
      <c r="I139" s="18" t="str">
        <f t="shared" si="11"/>
        <v>Clean</v>
      </c>
      <c r="J139" s="18" t="b">
        <v>0</v>
      </c>
      <c r="K139" s="18" t="str">
        <f t="shared" si="12"/>
        <v>Moderate</v>
      </c>
      <c r="L139" s="18">
        <v>0.58699999999999997</v>
      </c>
      <c r="M139" s="18" t="str">
        <f t="shared" si="13"/>
        <v>High Energy</v>
      </c>
      <c r="N139" s="18">
        <v>0.76700000000000002</v>
      </c>
      <c r="O139" s="18">
        <v>0</v>
      </c>
      <c r="P139" s="18">
        <v>-5.7130000000000001</v>
      </c>
      <c r="Q139" s="18">
        <v>1</v>
      </c>
      <c r="R139" s="18">
        <v>4.4900000000000002E-2</v>
      </c>
      <c r="S139" s="18">
        <v>0.22500000000000001</v>
      </c>
      <c r="T139" s="18">
        <v>0</v>
      </c>
      <c r="U139" s="18">
        <v>0.112</v>
      </c>
      <c r="V139" s="18">
        <v>0.66400000000000003</v>
      </c>
      <c r="W139" s="18">
        <v>100.38</v>
      </c>
      <c r="X139" s="18">
        <v>4</v>
      </c>
      <c r="Y139" s="19" t="s">
        <v>4</v>
      </c>
    </row>
    <row r="140" spans="1:25" x14ac:dyDescent="0.3">
      <c r="A140" s="14" t="s">
        <v>431</v>
      </c>
      <c r="B140" s="15" t="s">
        <v>30</v>
      </c>
      <c r="C140" s="15" t="s">
        <v>419</v>
      </c>
      <c r="D140" s="15" t="s">
        <v>432</v>
      </c>
      <c r="E140" s="15" t="str">
        <f t="shared" si="9"/>
        <v>Low</v>
      </c>
      <c r="F140" s="15">
        <v>22</v>
      </c>
      <c r="G140" s="30">
        <f t="shared" si="10"/>
        <v>32.043333333333337</v>
      </c>
      <c r="H140" s="15">
        <v>192260</v>
      </c>
      <c r="I140" s="15" t="str">
        <f t="shared" si="11"/>
        <v>Clean</v>
      </c>
      <c r="J140" s="15" t="b">
        <v>0</v>
      </c>
      <c r="K140" s="15" t="str">
        <f t="shared" si="12"/>
        <v>Moderate</v>
      </c>
      <c r="L140" s="15">
        <v>0.51400000000000001</v>
      </c>
      <c r="M140" s="15" t="str">
        <f t="shared" si="13"/>
        <v>Medium Energy</v>
      </c>
      <c r="N140" s="15">
        <v>0.56899999999999995</v>
      </c>
      <c r="O140" s="15">
        <v>6</v>
      </c>
      <c r="P140" s="15">
        <v>-7.8659999999999997</v>
      </c>
      <c r="Q140" s="15">
        <v>0</v>
      </c>
      <c r="R140" s="15">
        <v>0.03</v>
      </c>
      <c r="S140" s="15">
        <v>0.60099999999999998</v>
      </c>
      <c r="T140" s="20" t="s">
        <v>433</v>
      </c>
      <c r="U140" s="15">
        <v>0.218</v>
      </c>
      <c r="V140" s="15">
        <v>0.26400000000000001</v>
      </c>
      <c r="W140" s="15">
        <v>142.59700000000001</v>
      </c>
      <c r="X140" s="15">
        <v>4</v>
      </c>
      <c r="Y140" s="16" t="s">
        <v>4</v>
      </c>
    </row>
    <row r="141" spans="1:25" x14ac:dyDescent="0.3">
      <c r="A141" s="17" t="s">
        <v>434</v>
      </c>
      <c r="B141" s="18" t="s">
        <v>30</v>
      </c>
      <c r="C141" s="18" t="s">
        <v>419</v>
      </c>
      <c r="D141" s="18" t="s">
        <v>435</v>
      </c>
      <c r="E141" s="18" t="str">
        <f t="shared" si="9"/>
        <v>Low</v>
      </c>
      <c r="F141" s="18">
        <v>19</v>
      </c>
      <c r="G141" s="30">
        <f t="shared" si="10"/>
        <v>33.142499999999998</v>
      </c>
      <c r="H141" s="18">
        <v>198855</v>
      </c>
      <c r="I141" s="18" t="str">
        <f t="shared" si="11"/>
        <v>Clean</v>
      </c>
      <c r="J141" s="18" t="b">
        <v>0</v>
      </c>
      <c r="K141" s="18" t="str">
        <f t="shared" si="12"/>
        <v>Moderate</v>
      </c>
      <c r="L141" s="18">
        <v>0.64600000000000002</v>
      </c>
      <c r="M141" s="18" t="str">
        <f t="shared" si="13"/>
        <v>High Energy</v>
      </c>
      <c r="N141" s="18">
        <v>0.83599999999999997</v>
      </c>
      <c r="O141" s="18">
        <v>1</v>
      </c>
      <c r="P141" s="18">
        <v>-6.2030000000000003</v>
      </c>
      <c r="Q141" s="18">
        <v>1</v>
      </c>
      <c r="R141" s="18">
        <v>3.27E-2</v>
      </c>
      <c r="S141" s="18">
        <v>0.30099999999999999</v>
      </c>
      <c r="T141" s="21" t="s">
        <v>436</v>
      </c>
      <c r="U141" s="18">
        <v>0.28999999999999998</v>
      </c>
      <c r="V141" s="18">
        <v>0.72699999999999998</v>
      </c>
      <c r="W141" s="18">
        <v>105.991</v>
      </c>
      <c r="X141" s="18">
        <v>4</v>
      </c>
      <c r="Y141" s="19" t="s">
        <v>4</v>
      </c>
    </row>
    <row r="142" spans="1:25" x14ac:dyDescent="0.3">
      <c r="A142" s="14" t="s">
        <v>437</v>
      </c>
      <c r="B142" s="15" t="s">
        <v>30</v>
      </c>
      <c r="C142" s="15" t="s">
        <v>419</v>
      </c>
      <c r="D142" s="15" t="s">
        <v>438</v>
      </c>
      <c r="E142" s="15" t="str">
        <f t="shared" si="9"/>
        <v>Low</v>
      </c>
      <c r="F142" s="15">
        <v>24</v>
      </c>
      <c r="G142" s="30">
        <f t="shared" si="10"/>
        <v>31.9815</v>
      </c>
      <c r="H142" s="15">
        <v>191889</v>
      </c>
      <c r="I142" s="15" t="str">
        <f t="shared" si="11"/>
        <v>Clean</v>
      </c>
      <c r="J142" s="15" t="b">
        <v>0</v>
      </c>
      <c r="K142" s="15" t="str">
        <f t="shared" si="12"/>
        <v>Moderate</v>
      </c>
      <c r="L142" s="15">
        <v>0.56999999999999995</v>
      </c>
      <c r="M142" s="15" t="str">
        <f t="shared" si="13"/>
        <v>High Energy</v>
      </c>
      <c r="N142" s="15">
        <v>0.71099999999999997</v>
      </c>
      <c r="O142" s="15">
        <v>9</v>
      </c>
      <c r="P142" s="15">
        <v>-4.1550000000000002</v>
      </c>
      <c r="Q142" s="15">
        <v>1</v>
      </c>
      <c r="R142" s="15">
        <v>7.0300000000000001E-2</v>
      </c>
      <c r="S142" s="15">
        <v>0.11899999999999999</v>
      </c>
      <c r="T142" s="15">
        <v>0</v>
      </c>
      <c r="U142" s="15">
        <v>0.35199999999999998</v>
      </c>
      <c r="V142" s="15">
        <v>0.64800000000000002</v>
      </c>
      <c r="W142" s="15">
        <v>163.11699999999999</v>
      </c>
      <c r="X142" s="15">
        <v>4</v>
      </c>
      <c r="Y142" s="16" t="s">
        <v>4</v>
      </c>
    </row>
    <row r="143" spans="1:25" x14ac:dyDescent="0.3">
      <c r="A143" s="17" t="s">
        <v>439</v>
      </c>
      <c r="B143" s="18" t="s">
        <v>388</v>
      </c>
      <c r="C143" s="18" t="s">
        <v>440</v>
      </c>
      <c r="D143" s="18" t="s">
        <v>441</v>
      </c>
      <c r="E143" s="18" t="str">
        <f t="shared" si="9"/>
        <v>Average</v>
      </c>
      <c r="F143" s="18">
        <v>57</v>
      </c>
      <c r="G143" s="30">
        <f t="shared" si="10"/>
        <v>28.548833333333334</v>
      </c>
      <c r="H143" s="18">
        <v>171293</v>
      </c>
      <c r="I143" s="18" t="str">
        <f t="shared" si="11"/>
        <v>Clean</v>
      </c>
      <c r="J143" s="18" t="b">
        <v>0</v>
      </c>
      <c r="K143" s="18" t="str">
        <f t="shared" si="12"/>
        <v>Moderate</v>
      </c>
      <c r="L143" s="18">
        <v>0.67800000000000005</v>
      </c>
      <c r="M143" s="18" t="str">
        <f t="shared" si="13"/>
        <v>Low Energy</v>
      </c>
      <c r="N143" s="18">
        <v>0.19900000000000001</v>
      </c>
      <c r="O143" s="18">
        <v>9</v>
      </c>
      <c r="P143" s="18">
        <v>-9.7850000000000001</v>
      </c>
      <c r="Q143" s="18">
        <v>1</v>
      </c>
      <c r="R143" s="18">
        <v>3.0700000000000002E-2</v>
      </c>
      <c r="S143" s="18">
        <v>0.95699999999999996</v>
      </c>
      <c r="T143" s="21" t="s">
        <v>442</v>
      </c>
      <c r="U143" s="18">
        <v>9.6799999999999997E-2</v>
      </c>
      <c r="V143" s="18">
        <v>0.26200000000000001</v>
      </c>
      <c r="W143" s="18">
        <v>72.006</v>
      </c>
      <c r="X143" s="18">
        <v>4</v>
      </c>
      <c r="Y143" s="19" t="s">
        <v>4</v>
      </c>
    </row>
    <row r="144" spans="1:25" x14ac:dyDescent="0.3">
      <c r="A144" s="14" t="s">
        <v>443</v>
      </c>
      <c r="B144" s="15" t="s">
        <v>30</v>
      </c>
      <c r="C144" s="15" t="s">
        <v>419</v>
      </c>
      <c r="D144" s="15" t="s">
        <v>444</v>
      </c>
      <c r="E144" s="15" t="str">
        <f t="shared" si="9"/>
        <v>Low</v>
      </c>
      <c r="F144" s="15">
        <v>35</v>
      </c>
      <c r="G144" s="30">
        <f t="shared" si="10"/>
        <v>42.74</v>
      </c>
      <c r="H144" s="15">
        <v>256440</v>
      </c>
      <c r="I144" s="15" t="str">
        <f t="shared" si="11"/>
        <v>Clean</v>
      </c>
      <c r="J144" s="15" t="b">
        <v>0</v>
      </c>
      <c r="K144" s="15" t="str">
        <f t="shared" si="12"/>
        <v>Moderate</v>
      </c>
      <c r="L144" s="15">
        <v>0.58899999999999997</v>
      </c>
      <c r="M144" s="15" t="str">
        <f t="shared" si="13"/>
        <v>High Energy</v>
      </c>
      <c r="N144" s="15">
        <v>0.86699999999999999</v>
      </c>
      <c r="O144" s="15">
        <v>10</v>
      </c>
      <c r="P144" s="15">
        <v>-4.5229999999999997</v>
      </c>
      <c r="Q144" s="15">
        <v>1</v>
      </c>
      <c r="R144" s="15">
        <v>3.85E-2</v>
      </c>
      <c r="S144" s="15">
        <v>4.1000000000000002E-2</v>
      </c>
      <c r="T144" s="15">
        <v>0</v>
      </c>
      <c r="U144" s="15">
        <v>0.30599999999999999</v>
      </c>
      <c r="V144" s="15">
        <v>0.79500000000000004</v>
      </c>
      <c r="W144" s="15">
        <v>94.52</v>
      </c>
      <c r="X144" s="15">
        <v>4</v>
      </c>
      <c r="Y144" s="16" t="s">
        <v>4</v>
      </c>
    </row>
    <row r="145" spans="1:25" x14ac:dyDescent="0.3">
      <c r="A145" s="17" t="s">
        <v>445</v>
      </c>
      <c r="B145" s="18" t="s">
        <v>30</v>
      </c>
      <c r="C145" s="18" t="s">
        <v>419</v>
      </c>
      <c r="D145" s="18" t="s">
        <v>446</v>
      </c>
      <c r="E145" s="18" t="str">
        <f t="shared" si="9"/>
        <v>Low</v>
      </c>
      <c r="F145" s="18">
        <v>20</v>
      </c>
      <c r="G145" s="30">
        <f t="shared" si="10"/>
        <v>36.904166666666669</v>
      </c>
      <c r="H145" s="18">
        <v>221425</v>
      </c>
      <c r="I145" s="18" t="str">
        <f t="shared" si="11"/>
        <v>Clean</v>
      </c>
      <c r="J145" s="18" t="b">
        <v>0</v>
      </c>
      <c r="K145" s="18" t="str">
        <f t="shared" si="12"/>
        <v>Moderate</v>
      </c>
      <c r="L145" s="18">
        <v>0.626</v>
      </c>
      <c r="M145" s="18" t="str">
        <f t="shared" si="13"/>
        <v>High Energy</v>
      </c>
      <c r="N145" s="18">
        <v>0.92600000000000005</v>
      </c>
      <c r="O145" s="18">
        <v>2</v>
      </c>
      <c r="P145" s="18">
        <v>-4.4409999999999998</v>
      </c>
      <c r="Q145" s="18">
        <v>1</v>
      </c>
      <c r="R145" s="18">
        <v>4.7699999999999999E-2</v>
      </c>
      <c r="S145" s="18">
        <v>2.6499999999999999E-2</v>
      </c>
      <c r="T145" s="18">
        <v>0</v>
      </c>
      <c r="U145" s="18">
        <v>0.159</v>
      </c>
      <c r="V145" s="18">
        <v>0.54800000000000004</v>
      </c>
      <c r="W145" s="18">
        <v>99.997</v>
      </c>
      <c r="X145" s="18">
        <v>4</v>
      </c>
      <c r="Y145" s="19" t="s">
        <v>4</v>
      </c>
    </row>
    <row r="146" spans="1:25" x14ac:dyDescent="0.3">
      <c r="A146" s="14" t="s">
        <v>447</v>
      </c>
      <c r="B146" s="15" t="s">
        <v>30</v>
      </c>
      <c r="C146" s="15" t="s">
        <v>419</v>
      </c>
      <c r="D146" s="15" t="s">
        <v>448</v>
      </c>
      <c r="E146" s="15" t="str">
        <f t="shared" si="9"/>
        <v>Low</v>
      </c>
      <c r="F146" s="15">
        <v>18</v>
      </c>
      <c r="G146" s="30">
        <f t="shared" si="10"/>
        <v>42.50783333333333</v>
      </c>
      <c r="H146" s="15">
        <v>255047</v>
      </c>
      <c r="I146" s="15" t="str">
        <f t="shared" si="11"/>
        <v>Clean</v>
      </c>
      <c r="J146" s="15" t="b">
        <v>0</v>
      </c>
      <c r="K146" s="15" t="str">
        <f t="shared" si="12"/>
        <v>Moderate</v>
      </c>
      <c r="L146" s="15">
        <v>0.68600000000000005</v>
      </c>
      <c r="M146" s="15" t="str">
        <f t="shared" si="13"/>
        <v>Medium Energy</v>
      </c>
      <c r="N146" s="15">
        <v>0.55600000000000005</v>
      </c>
      <c r="O146" s="15">
        <v>1</v>
      </c>
      <c r="P146" s="15">
        <v>-8.5</v>
      </c>
      <c r="Q146" s="15">
        <v>0</v>
      </c>
      <c r="R146" s="15">
        <v>2.7099999999999999E-2</v>
      </c>
      <c r="S146" s="15">
        <v>0.53200000000000003</v>
      </c>
      <c r="T146" s="15">
        <v>0</v>
      </c>
      <c r="U146" s="15">
        <v>9.2200000000000004E-2</v>
      </c>
      <c r="V146" s="15">
        <v>0.36</v>
      </c>
      <c r="W146" s="15">
        <v>112.997</v>
      </c>
      <c r="X146" s="15">
        <v>4</v>
      </c>
      <c r="Y146" s="16" t="s">
        <v>4</v>
      </c>
    </row>
    <row r="147" spans="1:25" x14ac:dyDescent="0.3">
      <c r="A147" s="17" t="s">
        <v>449</v>
      </c>
      <c r="B147" s="18" t="s">
        <v>30</v>
      </c>
      <c r="C147" s="18" t="s">
        <v>419</v>
      </c>
      <c r="D147" s="18" t="s">
        <v>450</v>
      </c>
      <c r="E147" s="18" t="str">
        <f t="shared" si="9"/>
        <v>Low</v>
      </c>
      <c r="F147" s="18">
        <v>19</v>
      </c>
      <c r="G147" s="30">
        <f t="shared" si="10"/>
        <v>34.798833333333334</v>
      </c>
      <c r="H147" s="18">
        <v>208793</v>
      </c>
      <c r="I147" s="18" t="str">
        <f t="shared" si="11"/>
        <v>Clean</v>
      </c>
      <c r="J147" s="18" t="b">
        <v>0</v>
      </c>
      <c r="K147" s="18" t="str">
        <f t="shared" si="12"/>
        <v>Moderate</v>
      </c>
      <c r="L147" s="18">
        <v>0.56000000000000005</v>
      </c>
      <c r="M147" s="18" t="str">
        <f t="shared" si="13"/>
        <v>High Energy</v>
      </c>
      <c r="N147" s="18">
        <v>0.83199999999999996</v>
      </c>
      <c r="O147" s="18">
        <v>9</v>
      </c>
      <c r="P147" s="18">
        <v>-5.5949999999999998</v>
      </c>
      <c r="Q147" s="18">
        <v>1</v>
      </c>
      <c r="R147" s="18">
        <v>3.5200000000000002E-2</v>
      </c>
      <c r="S147" s="18">
        <v>0.108</v>
      </c>
      <c r="T147" s="18">
        <v>0</v>
      </c>
      <c r="U147" s="18">
        <v>0.23200000000000001</v>
      </c>
      <c r="V147" s="18">
        <v>0.80200000000000005</v>
      </c>
      <c r="W147" s="18">
        <v>100.95699999999999</v>
      </c>
      <c r="X147" s="18">
        <v>4</v>
      </c>
      <c r="Y147" s="19" t="s">
        <v>4</v>
      </c>
    </row>
    <row r="148" spans="1:25" x14ac:dyDescent="0.3">
      <c r="A148" s="14" t="s">
        <v>451</v>
      </c>
      <c r="B148" s="15" t="s">
        <v>30</v>
      </c>
      <c r="C148" s="15" t="s">
        <v>419</v>
      </c>
      <c r="D148" s="15" t="s">
        <v>452</v>
      </c>
      <c r="E148" s="15" t="str">
        <f t="shared" si="9"/>
        <v>Low</v>
      </c>
      <c r="F148" s="15">
        <v>23</v>
      </c>
      <c r="G148" s="30">
        <f t="shared" si="10"/>
        <v>35.75866666666667</v>
      </c>
      <c r="H148" s="15">
        <v>214552</v>
      </c>
      <c r="I148" s="15" t="str">
        <f t="shared" si="11"/>
        <v>Clean</v>
      </c>
      <c r="J148" s="15" t="b">
        <v>0</v>
      </c>
      <c r="K148" s="15" t="str">
        <f t="shared" si="12"/>
        <v>Moderate</v>
      </c>
      <c r="L148" s="15">
        <v>0.61899999999999999</v>
      </c>
      <c r="M148" s="15" t="str">
        <f t="shared" si="13"/>
        <v>High Energy</v>
      </c>
      <c r="N148" s="15">
        <v>0.79300000000000004</v>
      </c>
      <c r="O148" s="15">
        <v>5</v>
      </c>
      <c r="P148" s="15">
        <v>-5.9640000000000004</v>
      </c>
      <c r="Q148" s="15">
        <v>1</v>
      </c>
      <c r="R148" s="15">
        <v>6.6100000000000006E-2</v>
      </c>
      <c r="S148" s="15">
        <v>0.26300000000000001</v>
      </c>
      <c r="T148" s="15">
        <v>0</v>
      </c>
      <c r="U148" s="15">
        <v>8.2799999999999999E-2</v>
      </c>
      <c r="V148" s="15">
        <v>0.89200000000000002</v>
      </c>
      <c r="W148" s="15">
        <v>177.99100000000001</v>
      </c>
      <c r="X148" s="15">
        <v>4</v>
      </c>
      <c r="Y148" s="16" t="s">
        <v>4</v>
      </c>
    </row>
    <row r="149" spans="1:25" x14ac:dyDescent="0.3">
      <c r="A149" s="17" t="s">
        <v>453</v>
      </c>
      <c r="B149" s="18" t="s">
        <v>30</v>
      </c>
      <c r="C149" s="18" t="s">
        <v>419</v>
      </c>
      <c r="D149" s="18" t="s">
        <v>454</v>
      </c>
      <c r="E149" s="18" t="str">
        <f t="shared" si="9"/>
        <v>Low</v>
      </c>
      <c r="F149" s="18">
        <v>19</v>
      </c>
      <c r="G149" s="30">
        <f t="shared" si="10"/>
        <v>44.046666666666667</v>
      </c>
      <c r="H149" s="18">
        <v>264280</v>
      </c>
      <c r="I149" s="18" t="str">
        <f t="shared" si="11"/>
        <v>Clean</v>
      </c>
      <c r="J149" s="18" t="b">
        <v>0</v>
      </c>
      <c r="K149" s="18" t="str">
        <f t="shared" si="12"/>
        <v>Moderate</v>
      </c>
      <c r="L149" s="18">
        <v>0.56000000000000005</v>
      </c>
      <c r="M149" s="18" t="str">
        <f t="shared" si="13"/>
        <v>Low Energy</v>
      </c>
      <c r="N149" s="18">
        <v>0.27800000000000002</v>
      </c>
      <c r="O149" s="18">
        <v>3</v>
      </c>
      <c r="P149" s="18">
        <v>-12.500999999999999</v>
      </c>
      <c r="Q149" s="18">
        <v>1</v>
      </c>
      <c r="R149" s="18">
        <v>9.2100000000000001E-2</v>
      </c>
      <c r="S149" s="18">
        <v>0.73299999999999998</v>
      </c>
      <c r="T149" s="18">
        <v>0</v>
      </c>
      <c r="U149" s="18">
        <v>0.112</v>
      </c>
      <c r="V149" s="18">
        <v>0.59399999999999997</v>
      </c>
      <c r="W149" s="18">
        <v>102.187</v>
      </c>
      <c r="X149" s="18">
        <v>4</v>
      </c>
      <c r="Y149" s="19" t="s">
        <v>4</v>
      </c>
    </row>
    <row r="150" spans="1:25" x14ac:dyDescent="0.3">
      <c r="A150" s="14" t="s">
        <v>455</v>
      </c>
      <c r="B150" s="15" t="s">
        <v>30</v>
      </c>
      <c r="C150" s="15" t="s">
        <v>419</v>
      </c>
      <c r="D150" s="15" t="s">
        <v>456</v>
      </c>
      <c r="E150" s="15" t="str">
        <f t="shared" si="9"/>
        <v>Low</v>
      </c>
      <c r="F150" s="15">
        <v>18</v>
      </c>
      <c r="G150" s="30">
        <f t="shared" si="10"/>
        <v>48.173499999999997</v>
      </c>
      <c r="H150" s="15">
        <v>289041</v>
      </c>
      <c r="I150" s="15" t="str">
        <f t="shared" si="11"/>
        <v>Clean</v>
      </c>
      <c r="J150" s="15" t="b">
        <v>0</v>
      </c>
      <c r="K150" s="15" t="str">
        <f t="shared" si="12"/>
        <v>Moderate</v>
      </c>
      <c r="L150" s="15">
        <v>0.59499999999999997</v>
      </c>
      <c r="M150" s="15" t="str">
        <f t="shared" si="13"/>
        <v>High Energy</v>
      </c>
      <c r="N150" s="15">
        <v>0.80500000000000005</v>
      </c>
      <c r="O150" s="15">
        <v>8</v>
      </c>
      <c r="P150" s="15">
        <v>-7.9260000000000002</v>
      </c>
      <c r="Q150" s="15">
        <v>1</v>
      </c>
      <c r="R150" s="15">
        <v>5.4300000000000001E-2</v>
      </c>
      <c r="S150" s="15">
        <v>1.67E-2</v>
      </c>
      <c r="T150" s="20" t="s">
        <v>457</v>
      </c>
      <c r="U150" s="15">
        <v>6.9099999999999995E-2</v>
      </c>
      <c r="V150" s="15">
        <v>0.35899999999999999</v>
      </c>
      <c r="W150" s="15">
        <v>102.44</v>
      </c>
      <c r="X150" s="15">
        <v>4</v>
      </c>
      <c r="Y150" s="16" t="s">
        <v>4</v>
      </c>
    </row>
    <row r="151" spans="1:25" x14ac:dyDescent="0.3">
      <c r="A151" s="17" t="s">
        <v>458</v>
      </c>
      <c r="B151" s="18" t="s">
        <v>129</v>
      </c>
      <c r="C151" s="18" t="s">
        <v>265</v>
      </c>
      <c r="D151" s="18" t="s">
        <v>459</v>
      </c>
      <c r="E151" s="18" t="str">
        <f t="shared" si="9"/>
        <v>Popular</v>
      </c>
      <c r="F151" s="18">
        <v>65</v>
      </c>
      <c r="G151" s="30">
        <f t="shared" si="10"/>
        <v>53.68</v>
      </c>
      <c r="H151" s="18">
        <v>322080</v>
      </c>
      <c r="I151" s="18" t="str">
        <f t="shared" si="11"/>
        <v>Clean</v>
      </c>
      <c r="J151" s="18" t="b">
        <v>0</v>
      </c>
      <c r="K151" s="18" t="str">
        <f t="shared" si="12"/>
        <v>Moderate</v>
      </c>
      <c r="L151" s="18">
        <v>0.438</v>
      </c>
      <c r="M151" s="18" t="str">
        <f t="shared" si="13"/>
        <v>High Energy</v>
      </c>
      <c r="N151" s="18">
        <v>0.82699999999999996</v>
      </c>
      <c r="O151" s="18">
        <v>8</v>
      </c>
      <c r="P151" s="18">
        <v>-6.5309999999999997</v>
      </c>
      <c r="Q151" s="18">
        <v>1</v>
      </c>
      <c r="R151" s="18">
        <v>3.2800000000000003E-2</v>
      </c>
      <c r="S151" s="18">
        <v>5.1200000000000002E-2</v>
      </c>
      <c r="T151" s="18">
        <v>4.0200000000000001E-4</v>
      </c>
      <c r="U151" s="18">
        <v>0.31900000000000001</v>
      </c>
      <c r="V151" s="18">
        <v>0.64500000000000002</v>
      </c>
      <c r="W151" s="18">
        <v>143.37700000000001</v>
      </c>
      <c r="X151" s="18">
        <v>4</v>
      </c>
      <c r="Y151" s="19" t="s">
        <v>4</v>
      </c>
    </row>
    <row r="152" spans="1:25" x14ac:dyDescent="0.3">
      <c r="A152" s="14" t="s">
        <v>460</v>
      </c>
      <c r="B152" s="15" t="s">
        <v>461</v>
      </c>
      <c r="C152" s="15" t="s">
        <v>462</v>
      </c>
      <c r="D152" s="15" t="s">
        <v>462</v>
      </c>
      <c r="E152" s="15" t="str">
        <f t="shared" si="9"/>
        <v>Average</v>
      </c>
      <c r="F152" s="15">
        <v>55</v>
      </c>
      <c r="G152" s="30">
        <f t="shared" si="10"/>
        <v>39.828499999999998</v>
      </c>
      <c r="H152" s="15">
        <v>238971</v>
      </c>
      <c r="I152" s="15" t="str">
        <f t="shared" si="11"/>
        <v>Clean</v>
      </c>
      <c r="J152" s="15" t="b">
        <v>0</v>
      </c>
      <c r="K152" s="15" t="str">
        <f t="shared" si="12"/>
        <v>Moderate</v>
      </c>
      <c r="L152" s="15">
        <v>0.58199999999999996</v>
      </c>
      <c r="M152" s="15" t="str">
        <f t="shared" si="13"/>
        <v>Low Energy</v>
      </c>
      <c r="N152" s="15">
        <v>0.375</v>
      </c>
      <c r="O152" s="15">
        <v>1</v>
      </c>
      <c r="P152" s="15">
        <v>-13.276999999999999</v>
      </c>
      <c r="Q152" s="15">
        <v>0</v>
      </c>
      <c r="R152" s="15">
        <v>3.2899999999999999E-2</v>
      </c>
      <c r="S152" s="15">
        <v>0.70199999999999996</v>
      </c>
      <c r="T152" s="15">
        <v>6.3100000000000003E-2</v>
      </c>
      <c r="U152" s="15">
        <v>0.13600000000000001</v>
      </c>
      <c r="V152" s="15">
        <v>0.106</v>
      </c>
      <c r="W152" s="15">
        <v>129.90899999999999</v>
      </c>
      <c r="X152" s="15">
        <v>4</v>
      </c>
      <c r="Y152" s="16" t="s">
        <v>4</v>
      </c>
    </row>
    <row r="153" spans="1:25" x14ac:dyDescent="0.3">
      <c r="A153" s="17" t="s">
        <v>463</v>
      </c>
      <c r="B153" s="18" t="s">
        <v>464</v>
      </c>
      <c r="C153" s="18" t="s">
        <v>465</v>
      </c>
      <c r="D153" s="18" t="s">
        <v>466</v>
      </c>
      <c r="E153" s="18" t="str">
        <f t="shared" si="9"/>
        <v>Average</v>
      </c>
      <c r="F153" s="18">
        <v>47</v>
      </c>
      <c r="G153" s="30">
        <f t="shared" si="10"/>
        <v>46.095833333333331</v>
      </c>
      <c r="H153" s="18">
        <v>276575</v>
      </c>
      <c r="I153" s="18" t="str">
        <f t="shared" si="11"/>
        <v>Clean</v>
      </c>
      <c r="J153" s="18" t="b">
        <v>0</v>
      </c>
      <c r="K153" s="18" t="str">
        <f t="shared" si="12"/>
        <v>Moderate</v>
      </c>
      <c r="L153" s="18">
        <v>0.45300000000000001</v>
      </c>
      <c r="M153" s="18" t="str">
        <f t="shared" si="13"/>
        <v>Low Energy</v>
      </c>
      <c r="N153" s="18">
        <v>0.29499999999999998</v>
      </c>
      <c r="O153" s="18">
        <v>7</v>
      </c>
      <c r="P153" s="18">
        <v>-12.881</v>
      </c>
      <c r="Q153" s="18">
        <v>1</v>
      </c>
      <c r="R153" s="18">
        <v>2.9100000000000001E-2</v>
      </c>
      <c r="S153" s="18">
        <v>0.51800000000000002</v>
      </c>
      <c r="T153" s="18">
        <v>1.1E-4</v>
      </c>
      <c r="U153" s="18">
        <v>0.29299999999999998</v>
      </c>
      <c r="V153" s="18">
        <v>0.14000000000000001</v>
      </c>
      <c r="W153" s="18">
        <v>146.02199999999999</v>
      </c>
      <c r="X153" s="18">
        <v>4</v>
      </c>
      <c r="Y153" s="19" t="s">
        <v>4</v>
      </c>
    </row>
    <row r="154" spans="1:25" x14ac:dyDescent="0.3">
      <c r="A154" s="14" t="s">
        <v>467</v>
      </c>
      <c r="B154" s="15" t="s">
        <v>393</v>
      </c>
      <c r="C154" s="15" t="s">
        <v>468</v>
      </c>
      <c r="D154" s="15" t="s">
        <v>469</v>
      </c>
      <c r="E154" s="15" t="str">
        <f t="shared" si="9"/>
        <v>Average</v>
      </c>
      <c r="F154" s="15">
        <v>56</v>
      </c>
      <c r="G154" s="30">
        <f t="shared" si="10"/>
        <v>41.52</v>
      </c>
      <c r="H154" s="15">
        <v>249120</v>
      </c>
      <c r="I154" s="15" t="str">
        <f t="shared" si="11"/>
        <v>Clean</v>
      </c>
      <c r="J154" s="15" t="b">
        <v>0</v>
      </c>
      <c r="K154" s="15" t="str">
        <f t="shared" si="12"/>
        <v>Moderate</v>
      </c>
      <c r="L154" s="15">
        <v>0.63600000000000001</v>
      </c>
      <c r="M154" s="15" t="str">
        <f t="shared" si="13"/>
        <v>Medium Energy</v>
      </c>
      <c r="N154" s="15">
        <v>0.625</v>
      </c>
      <c r="O154" s="15">
        <v>11</v>
      </c>
      <c r="P154" s="15">
        <v>-7.8949999999999996</v>
      </c>
      <c r="Q154" s="15">
        <v>1</v>
      </c>
      <c r="R154" s="15">
        <v>2.7699999999999999E-2</v>
      </c>
      <c r="S154" s="15">
        <v>0.222</v>
      </c>
      <c r="T154" s="20" t="s">
        <v>470</v>
      </c>
      <c r="U154" s="15">
        <v>0.11899999999999999</v>
      </c>
      <c r="V154" s="15">
        <v>0.34200000000000003</v>
      </c>
      <c r="W154" s="15">
        <v>93.930999999999997</v>
      </c>
      <c r="X154" s="15">
        <v>4</v>
      </c>
      <c r="Y154" s="16" t="s">
        <v>4</v>
      </c>
    </row>
    <row r="155" spans="1:25" x14ac:dyDescent="0.3">
      <c r="A155" s="17" t="s">
        <v>471</v>
      </c>
      <c r="B155" s="18" t="s">
        <v>472</v>
      </c>
      <c r="C155" s="18" t="s">
        <v>473</v>
      </c>
      <c r="D155" s="18" t="s">
        <v>473</v>
      </c>
      <c r="E155" s="18" t="str">
        <f t="shared" si="9"/>
        <v>Average</v>
      </c>
      <c r="F155" s="18">
        <v>53</v>
      </c>
      <c r="G155" s="30">
        <f t="shared" si="10"/>
        <v>18.622333333333334</v>
      </c>
      <c r="H155" s="18">
        <v>111734</v>
      </c>
      <c r="I155" s="18" t="str">
        <f t="shared" si="11"/>
        <v>Clean</v>
      </c>
      <c r="J155" s="18" t="b">
        <v>0</v>
      </c>
      <c r="K155" s="18" t="str">
        <f t="shared" si="12"/>
        <v>Moderate</v>
      </c>
      <c r="L155" s="18">
        <v>0.63900000000000001</v>
      </c>
      <c r="M155" s="18" t="str">
        <f t="shared" si="13"/>
        <v>Low Energy</v>
      </c>
      <c r="N155" s="18">
        <v>0.20100000000000001</v>
      </c>
      <c r="O155" s="18">
        <v>7</v>
      </c>
      <c r="P155" s="18">
        <v>-16.613</v>
      </c>
      <c r="Q155" s="18">
        <v>0</v>
      </c>
      <c r="R155" s="18">
        <v>5.2600000000000001E-2</v>
      </c>
      <c r="S155" s="18">
        <v>0.90700000000000003</v>
      </c>
      <c r="T155" s="21" t="s">
        <v>474</v>
      </c>
      <c r="U155" s="18">
        <v>0.124</v>
      </c>
      <c r="V155" s="18">
        <v>0.4</v>
      </c>
      <c r="W155" s="18">
        <v>88.106999999999999</v>
      </c>
      <c r="X155" s="18">
        <v>4</v>
      </c>
      <c r="Y155" s="19" t="s">
        <v>4</v>
      </c>
    </row>
    <row r="156" spans="1:25" x14ac:dyDescent="0.3">
      <c r="A156" s="14" t="s">
        <v>475</v>
      </c>
      <c r="B156" s="15" t="s">
        <v>336</v>
      </c>
      <c r="C156" s="15" t="s">
        <v>337</v>
      </c>
      <c r="D156" s="15" t="s">
        <v>476</v>
      </c>
      <c r="E156" s="15" t="str">
        <f t="shared" si="9"/>
        <v>Average</v>
      </c>
      <c r="F156" s="15">
        <v>49</v>
      </c>
      <c r="G156" s="30">
        <f t="shared" si="10"/>
        <v>35.126666666666665</v>
      </c>
      <c r="H156" s="15">
        <v>210760</v>
      </c>
      <c r="I156" s="15" t="str">
        <f t="shared" si="11"/>
        <v>Clean</v>
      </c>
      <c r="J156" s="15" t="b">
        <v>0</v>
      </c>
      <c r="K156" s="15" t="str">
        <f t="shared" si="12"/>
        <v>Moderate</v>
      </c>
      <c r="L156" s="15">
        <v>0.69</v>
      </c>
      <c r="M156" s="15" t="str">
        <f t="shared" si="13"/>
        <v>Medium Energy</v>
      </c>
      <c r="N156" s="15">
        <v>0.42299999999999999</v>
      </c>
      <c r="O156" s="15">
        <v>2</v>
      </c>
      <c r="P156" s="15">
        <v>-9.1940000000000008</v>
      </c>
      <c r="Q156" s="15">
        <v>0</v>
      </c>
      <c r="R156" s="15">
        <v>2.9399999999999999E-2</v>
      </c>
      <c r="S156" s="15">
        <v>0.88300000000000001</v>
      </c>
      <c r="T156" s="15">
        <v>1.23E-2</v>
      </c>
      <c r="U156" s="15">
        <v>0.111</v>
      </c>
      <c r="V156" s="15">
        <v>0.59</v>
      </c>
      <c r="W156" s="15">
        <v>130.12100000000001</v>
      </c>
      <c r="X156" s="15">
        <v>4</v>
      </c>
      <c r="Y156" s="16" t="s">
        <v>4</v>
      </c>
    </row>
    <row r="157" spans="1:25" x14ac:dyDescent="0.3">
      <c r="A157" s="17" t="s">
        <v>477</v>
      </c>
      <c r="B157" s="18" t="s">
        <v>478</v>
      </c>
      <c r="C157" s="18" t="s">
        <v>479</v>
      </c>
      <c r="D157" s="18" t="s">
        <v>479</v>
      </c>
      <c r="E157" s="18" t="str">
        <f t="shared" si="9"/>
        <v>Average</v>
      </c>
      <c r="F157" s="18">
        <v>51</v>
      </c>
      <c r="G157" s="30">
        <f t="shared" si="10"/>
        <v>42.614666666666665</v>
      </c>
      <c r="H157" s="18">
        <v>255688</v>
      </c>
      <c r="I157" s="18" t="str">
        <f t="shared" si="11"/>
        <v>Clean</v>
      </c>
      <c r="J157" s="18" t="b">
        <v>0</v>
      </c>
      <c r="K157" s="18" t="str">
        <f t="shared" si="12"/>
        <v>Moderate</v>
      </c>
      <c r="L157" s="18">
        <v>0.59899999999999998</v>
      </c>
      <c r="M157" s="18" t="str">
        <f t="shared" si="13"/>
        <v>Low Energy</v>
      </c>
      <c r="N157" s="18">
        <v>0.34899999999999998</v>
      </c>
      <c r="O157" s="18">
        <v>1</v>
      </c>
      <c r="P157" s="18">
        <v>-9.2690000000000001</v>
      </c>
      <c r="Q157" s="18">
        <v>1</v>
      </c>
      <c r="R157" s="18">
        <v>3.0099999999999998E-2</v>
      </c>
      <c r="S157" s="18">
        <v>0.81899999999999995</v>
      </c>
      <c r="T157" s="18">
        <v>0</v>
      </c>
      <c r="U157" s="18">
        <v>0.112</v>
      </c>
      <c r="V157" s="18">
        <v>0.44400000000000001</v>
      </c>
      <c r="W157" s="18">
        <v>147.91300000000001</v>
      </c>
      <c r="X157" s="18">
        <v>4</v>
      </c>
      <c r="Y157" s="19" t="s">
        <v>4</v>
      </c>
    </row>
    <row r="158" spans="1:25" x14ac:dyDescent="0.3">
      <c r="A158" s="14" t="s">
        <v>480</v>
      </c>
      <c r="B158" s="15" t="s">
        <v>19</v>
      </c>
      <c r="C158" s="15" t="s">
        <v>481</v>
      </c>
      <c r="D158" s="15" t="s">
        <v>481</v>
      </c>
      <c r="E158" s="15" t="str">
        <f t="shared" si="9"/>
        <v>Average</v>
      </c>
      <c r="F158" s="15">
        <v>53</v>
      </c>
      <c r="G158" s="30">
        <f t="shared" si="10"/>
        <v>30.297666666666668</v>
      </c>
      <c r="H158" s="15">
        <v>181786</v>
      </c>
      <c r="I158" s="15" t="str">
        <f t="shared" si="11"/>
        <v>Clean</v>
      </c>
      <c r="J158" s="15" t="b">
        <v>0</v>
      </c>
      <c r="K158" s="15" t="str">
        <f t="shared" si="12"/>
        <v>Moderate</v>
      </c>
      <c r="L158" s="15">
        <v>0.51900000000000002</v>
      </c>
      <c r="M158" s="15" t="str">
        <f t="shared" si="13"/>
        <v>Low Energy</v>
      </c>
      <c r="N158" s="15">
        <v>0.26400000000000001</v>
      </c>
      <c r="O158" s="15">
        <v>0</v>
      </c>
      <c r="P158" s="15">
        <v>-11.170999999999999</v>
      </c>
      <c r="Q158" s="15">
        <v>1</v>
      </c>
      <c r="R158" s="15">
        <v>6.0100000000000001E-2</v>
      </c>
      <c r="S158" s="15">
        <v>0.91800000000000004</v>
      </c>
      <c r="T158" s="15">
        <v>2.5300000000000002E-4</v>
      </c>
      <c r="U158" s="15">
        <v>0.23699999999999999</v>
      </c>
      <c r="V158" s="15">
        <v>0.192</v>
      </c>
      <c r="W158" s="15">
        <v>140.35400000000001</v>
      </c>
      <c r="X158" s="15">
        <v>4</v>
      </c>
      <c r="Y158" s="16" t="s">
        <v>4</v>
      </c>
    </row>
    <row r="159" spans="1:25" x14ac:dyDescent="0.3">
      <c r="A159" s="17" t="s">
        <v>482</v>
      </c>
      <c r="B159" s="18" t="s">
        <v>228</v>
      </c>
      <c r="C159" s="18" t="s">
        <v>483</v>
      </c>
      <c r="D159" s="18" t="s">
        <v>484</v>
      </c>
      <c r="E159" s="18" t="str">
        <f t="shared" si="9"/>
        <v>Popular</v>
      </c>
      <c r="F159" s="18">
        <v>66</v>
      </c>
      <c r="G159" s="30">
        <f t="shared" si="10"/>
        <v>40.766666666666666</v>
      </c>
      <c r="H159" s="18">
        <v>244600</v>
      </c>
      <c r="I159" s="18" t="str">
        <f t="shared" si="11"/>
        <v>Clean</v>
      </c>
      <c r="J159" s="18" t="b">
        <v>0</v>
      </c>
      <c r="K159" s="18" t="str">
        <f t="shared" si="12"/>
        <v>Moderate</v>
      </c>
      <c r="L159" s="18">
        <v>0.64300000000000002</v>
      </c>
      <c r="M159" s="18" t="str">
        <f t="shared" si="13"/>
        <v>Medium Energy</v>
      </c>
      <c r="N159" s="18">
        <v>0.56899999999999995</v>
      </c>
      <c r="O159" s="18">
        <v>7</v>
      </c>
      <c r="P159" s="18">
        <v>-7.4589999999999996</v>
      </c>
      <c r="Q159" s="18">
        <v>1</v>
      </c>
      <c r="R159" s="18">
        <v>2.76E-2</v>
      </c>
      <c r="S159" s="18">
        <v>0.54400000000000004</v>
      </c>
      <c r="T159" s="21" t="s">
        <v>485</v>
      </c>
      <c r="U159" s="18">
        <v>0.17799999999999999</v>
      </c>
      <c r="V159" s="18">
        <v>0.27500000000000002</v>
      </c>
      <c r="W159" s="18">
        <v>120.50700000000001</v>
      </c>
      <c r="X159" s="18">
        <v>4</v>
      </c>
      <c r="Y159" s="19" t="s">
        <v>4</v>
      </c>
    </row>
    <row r="160" spans="1:25" x14ac:dyDescent="0.3">
      <c r="A160" s="14" t="s">
        <v>486</v>
      </c>
      <c r="B160" s="15" t="s">
        <v>164</v>
      </c>
      <c r="C160" s="15" t="s">
        <v>487</v>
      </c>
      <c r="D160" s="15" t="s">
        <v>488</v>
      </c>
      <c r="E160" s="15" t="str">
        <f t="shared" si="9"/>
        <v>Average</v>
      </c>
      <c r="F160" s="15">
        <v>56</v>
      </c>
      <c r="G160" s="30">
        <f t="shared" si="10"/>
        <v>29.091000000000001</v>
      </c>
      <c r="H160" s="15">
        <v>174546</v>
      </c>
      <c r="I160" s="15" t="str">
        <f t="shared" si="11"/>
        <v>Clean</v>
      </c>
      <c r="J160" s="15" t="b">
        <v>0</v>
      </c>
      <c r="K160" s="15" t="str">
        <f t="shared" si="12"/>
        <v>Moderate</v>
      </c>
      <c r="L160" s="15">
        <v>0.57299999999999995</v>
      </c>
      <c r="M160" s="15" t="str">
        <f t="shared" si="13"/>
        <v>Medium Energy</v>
      </c>
      <c r="N160" s="15">
        <v>0.624</v>
      </c>
      <c r="O160" s="15">
        <v>1</v>
      </c>
      <c r="P160" s="15">
        <v>-9.0760000000000005</v>
      </c>
      <c r="Q160" s="15">
        <v>0</v>
      </c>
      <c r="R160" s="15">
        <v>3.2399999999999998E-2</v>
      </c>
      <c r="S160" s="15">
        <v>0.47099999999999997</v>
      </c>
      <c r="T160" s="15">
        <v>0.11700000000000001</v>
      </c>
      <c r="U160" s="15">
        <v>0.114</v>
      </c>
      <c r="V160" s="15">
        <v>0.52900000000000003</v>
      </c>
      <c r="W160" s="15">
        <v>161.02500000000001</v>
      </c>
      <c r="X160" s="15">
        <v>4</v>
      </c>
      <c r="Y160" s="16" t="s">
        <v>4</v>
      </c>
    </row>
    <row r="161" spans="1:25" x14ac:dyDescent="0.3">
      <c r="A161" s="17" t="s">
        <v>489</v>
      </c>
      <c r="B161" s="18" t="s">
        <v>406</v>
      </c>
      <c r="C161" s="18" t="s">
        <v>490</v>
      </c>
      <c r="D161" s="18" t="s">
        <v>491</v>
      </c>
      <c r="E161" s="18" t="str">
        <f t="shared" si="9"/>
        <v>Average</v>
      </c>
      <c r="F161" s="18">
        <v>47</v>
      </c>
      <c r="G161" s="30">
        <f t="shared" si="10"/>
        <v>39.055</v>
      </c>
      <c r="H161" s="18">
        <v>234330</v>
      </c>
      <c r="I161" s="18" t="str">
        <f t="shared" si="11"/>
        <v>Clean</v>
      </c>
      <c r="J161" s="18" t="b">
        <v>0</v>
      </c>
      <c r="K161" s="18" t="str">
        <f t="shared" si="12"/>
        <v>Moderate</v>
      </c>
      <c r="L161" s="18">
        <v>0.65400000000000003</v>
      </c>
      <c r="M161" s="18" t="str">
        <f t="shared" si="13"/>
        <v>High Energy</v>
      </c>
      <c r="N161" s="18">
        <v>0.82099999999999995</v>
      </c>
      <c r="O161" s="18">
        <v>7</v>
      </c>
      <c r="P161" s="18">
        <v>-5.4720000000000004</v>
      </c>
      <c r="Q161" s="18">
        <v>1</v>
      </c>
      <c r="R161" s="18">
        <v>2.64E-2</v>
      </c>
      <c r="S161" s="18">
        <v>6.6600000000000001E-3</v>
      </c>
      <c r="T161" s="18">
        <v>2.99E-3</v>
      </c>
      <c r="U161" s="18">
        <v>0.22800000000000001</v>
      </c>
      <c r="V161" s="18">
        <v>0.61299999999999999</v>
      </c>
      <c r="W161" s="18">
        <v>111.958</v>
      </c>
      <c r="X161" s="18">
        <v>4</v>
      </c>
      <c r="Y161" s="19" t="s">
        <v>4</v>
      </c>
    </row>
    <row r="162" spans="1:25" x14ac:dyDescent="0.3">
      <c r="A162" s="14" t="s">
        <v>492</v>
      </c>
      <c r="B162" s="15" t="s">
        <v>493</v>
      </c>
      <c r="C162" s="15" t="s">
        <v>494</v>
      </c>
      <c r="D162" s="15" t="s">
        <v>495</v>
      </c>
      <c r="E162" s="15" t="str">
        <f t="shared" si="9"/>
        <v>Average</v>
      </c>
      <c r="F162" s="15">
        <v>51</v>
      </c>
      <c r="G162" s="30">
        <f t="shared" si="10"/>
        <v>42.6</v>
      </c>
      <c r="H162" s="15">
        <v>255600</v>
      </c>
      <c r="I162" s="15" t="str">
        <f t="shared" si="11"/>
        <v>Clean</v>
      </c>
      <c r="J162" s="15" t="b">
        <v>0</v>
      </c>
      <c r="K162" s="15" t="str">
        <f t="shared" si="12"/>
        <v>Moderate</v>
      </c>
      <c r="L162" s="15">
        <v>0.42599999999999999</v>
      </c>
      <c r="M162" s="15" t="str">
        <f t="shared" si="13"/>
        <v>Low Energy</v>
      </c>
      <c r="N162" s="15">
        <v>0.39900000000000002</v>
      </c>
      <c r="O162" s="15">
        <v>0</v>
      </c>
      <c r="P162" s="15">
        <v>-8.4469999999999992</v>
      </c>
      <c r="Q162" s="15">
        <v>1</v>
      </c>
      <c r="R162" s="15">
        <v>3.4000000000000002E-2</v>
      </c>
      <c r="S162" s="15">
        <v>0.76100000000000001</v>
      </c>
      <c r="T162" s="15">
        <v>1.1199999999999999E-3</v>
      </c>
      <c r="U162" s="15">
        <v>0.11799999999999999</v>
      </c>
      <c r="V162" s="15">
        <v>0.217</v>
      </c>
      <c r="W162" s="15">
        <v>115.979</v>
      </c>
      <c r="X162" s="15">
        <v>4</v>
      </c>
      <c r="Y162" s="16" t="s">
        <v>4</v>
      </c>
    </row>
    <row r="163" spans="1:25" x14ac:dyDescent="0.3">
      <c r="A163" s="17" t="s">
        <v>496</v>
      </c>
      <c r="B163" s="18" t="s">
        <v>497</v>
      </c>
      <c r="C163" s="18" t="s">
        <v>498</v>
      </c>
      <c r="D163" s="18" t="s">
        <v>498</v>
      </c>
      <c r="E163" s="18" t="str">
        <f t="shared" si="9"/>
        <v>Average</v>
      </c>
      <c r="F163" s="18">
        <v>55</v>
      </c>
      <c r="G163" s="30">
        <f t="shared" si="10"/>
        <v>29.423666666666666</v>
      </c>
      <c r="H163" s="18">
        <v>176542</v>
      </c>
      <c r="I163" s="18" t="str">
        <f t="shared" si="11"/>
        <v>Clean</v>
      </c>
      <c r="J163" s="18" t="b">
        <v>0</v>
      </c>
      <c r="K163" s="18" t="str">
        <f t="shared" si="12"/>
        <v>Moderate</v>
      </c>
      <c r="L163" s="18">
        <v>0.505</v>
      </c>
      <c r="M163" s="18" t="str">
        <f t="shared" si="13"/>
        <v>Low Energy</v>
      </c>
      <c r="N163" s="18">
        <v>0.21</v>
      </c>
      <c r="O163" s="18">
        <v>11</v>
      </c>
      <c r="P163" s="18">
        <v>-11.349</v>
      </c>
      <c r="Q163" s="18">
        <v>1</v>
      </c>
      <c r="R163" s="18">
        <v>2.9499999999999998E-2</v>
      </c>
      <c r="S163" s="18">
        <v>0.90700000000000003</v>
      </c>
      <c r="T163" s="18">
        <v>0</v>
      </c>
      <c r="U163" s="18">
        <v>0.11</v>
      </c>
      <c r="V163" s="18">
        <v>0.32300000000000001</v>
      </c>
      <c r="W163" s="18">
        <v>80.721000000000004</v>
      </c>
      <c r="X163" s="18">
        <v>4</v>
      </c>
      <c r="Y163" s="19" t="s">
        <v>4</v>
      </c>
    </row>
    <row r="164" spans="1:25" x14ac:dyDescent="0.3">
      <c r="A164" s="14" t="s">
        <v>499</v>
      </c>
      <c r="B164" s="15" t="s">
        <v>30</v>
      </c>
      <c r="C164" s="15" t="s">
        <v>32</v>
      </c>
      <c r="D164" s="15" t="s">
        <v>32</v>
      </c>
      <c r="E164" s="15" t="str">
        <f t="shared" si="9"/>
        <v>Popular</v>
      </c>
      <c r="F164" s="15">
        <v>60</v>
      </c>
      <c r="G164" s="30">
        <f t="shared" si="10"/>
        <v>40.582333333333331</v>
      </c>
      <c r="H164" s="15">
        <v>243494</v>
      </c>
      <c r="I164" s="15" t="str">
        <f t="shared" si="11"/>
        <v>Clean</v>
      </c>
      <c r="J164" s="15" t="b">
        <v>0</v>
      </c>
      <c r="K164" s="15" t="str">
        <f t="shared" si="12"/>
        <v>Moderate</v>
      </c>
      <c r="L164" s="15">
        <v>0.69299999999999995</v>
      </c>
      <c r="M164" s="15" t="str">
        <f t="shared" si="13"/>
        <v>Medium Energy</v>
      </c>
      <c r="N164" s="15">
        <v>0.43</v>
      </c>
      <c r="O164" s="15">
        <v>11</v>
      </c>
      <c r="P164" s="15">
        <v>-9.3949999999999996</v>
      </c>
      <c r="Q164" s="15">
        <v>1</v>
      </c>
      <c r="R164" s="15">
        <v>4.4200000000000003E-2</v>
      </c>
      <c r="S164" s="15">
        <v>0.56499999999999995</v>
      </c>
      <c r="T164" s="15">
        <v>0</v>
      </c>
      <c r="U164" s="15">
        <v>9.2799999999999994E-2</v>
      </c>
      <c r="V164" s="15">
        <v>0.73099999999999998</v>
      </c>
      <c r="W164" s="15">
        <v>151.001</v>
      </c>
      <c r="X164" s="15">
        <v>4</v>
      </c>
      <c r="Y164" s="16" t="s">
        <v>4</v>
      </c>
    </row>
    <row r="165" spans="1:25" x14ac:dyDescent="0.3">
      <c r="A165" s="17" t="s">
        <v>500</v>
      </c>
      <c r="B165" s="18" t="s">
        <v>501</v>
      </c>
      <c r="C165" s="18" t="s">
        <v>502</v>
      </c>
      <c r="D165" s="18" t="s">
        <v>502</v>
      </c>
      <c r="E165" s="18" t="str">
        <f t="shared" si="9"/>
        <v>Average</v>
      </c>
      <c r="F165" s="18">
        <v>40</v>
      </c>
      <c r="G165" s="30">
        <f t="shared" si="10"/>
        <v>31.449166666666667</v>
      </c>
      <c r="H165" s="18">
        <v>188695</v>
      </c>
      <c r="I165" s="18" t="str">
        <f t="shared" si="11"/>
        <v>Clean</v>
      </c>
      <c r="J165" s="18" t="b">
        <v>0</v>
      </c>
      <c r="K165" s="18" t="str">
        <f t="shared" si="12"/>
        <v>Very Danceable</v>
      </c>
      <c r="L165" s="18">
        <v>0.73899999999999999</v>
      </c>
      <c r="M165" s="18" t="str">
        <f t="shared" si="13"/>
        <v>Low Energy</v>
      </c>
      <c r="N165" s="18">
        <v>0.28699999999999998</v>
      </c>
      <c r="O165" s="18">
        <v>6</v>
      </c>
      <c r="P165" s="18">
        <v>-14.007</v>
      </c>
      <c r="Q165" s="18">
        <v>0</v>
      </c>
      <c r="R165" s="18">
        <v>5.8999999999999997E-2</v>
      </c>
      <c r="S165" s="18">
        <v>0.96899999999999997</v>
      </c>
      <c r="T165" s="18">
        <v>0.96099999999999997</v>
      </c>
      <c r="U165" s="18">
        <v>0.111</v>
      </c>
      <c r="V165" s="18">
        <v>0.55700000000000005</v>
      </c>
      <c r="W165" s="18">
        <v>80.64</v>
      </c>
      <c r="X165" s="18">
        <v>4</v>
      </c>
      <c r="Y165" s="19" t="s">
        <v>4</v>
      </c>
    </row>
    <row r="166" spans="1:25" x14ac:dyDescent="0.3">
      <c r="A166" s="14" t="s">
        <v>503</v>
      </c>
      <c r="B166" s="15" t="s">
        <v>25</v>
      </c>
      <c r="C166" s="15" t="s">
        <v>27</v>
      </c>
      <c r="D166" s="15" t="s">
        <v>27</v>
      </c>
      <c r="E166" s="15" t="str">
        <f t="shared" si="9"/>
        <v>Average</v>
      </c>
      <c r="F166" s="15">
        <v>58</v>
      </c>
      <c r="G166" s="30">
        <f t="shared" si="10"/>
        <v>38.233333333333334</v>
      </c>
      <c r="H166" s="15">
        <v>229400</v>
      </c>
      <c r="I166" s="15" t="str">
        <f t="shared" si="11"/>
        <v>Clean</v>
      </c>
      <c r="J166" s="15" t="b">
        <v>0</v>
      </c>
      <c r="K166" s="15" t="str">
        <f t="shared" si="12"/>
        <v>Moderate</v>
      </c>
      <c r="L166" s="15">
        <v>0.45300000000000001</v>
      </c>
      <c r="M166" s="15" t="str">
        <f t="shared" si="13"/>
        <v>Low Energy</v>
      </c>
      <c r="N166" s="15">
        <v>0.14599999999999999</v>
      </c>
      <c r="O166" s="15">
        <v>2</v>
      </c>
      <c r="P166" s="15">
        <v>-8.9760000000000009</v>
      </c>
      <c r="Q166" s="15">
        <v>1</v>
      </c>
      <c r="R166" s="15">
        <v>3.4299999999999997E-2</v>
      </c>
      <c r="S166" s="15">
        <v>0.86699999999999999</v>
      </c>
      <c r="T166" s="20" t="s">
        <v>504</v>
      </c>
      <c r="U166" s="15">
        <v>9.4500000000000001E-2</v>
      </c>
      <c r="V166" s="15">
        <v>9.1499999999999998E-2</v>
      </c>
      <c r="W166" s="15">
        <v>137.905</v>
      </c>
      <c r="X166" s="15">
        <v>3</v>
      </c>
      <c r="Y166" s="16" t="s">
        <v>4</v>
      </c>
    </row>
    <row r="167" spans="1:25" x14ac:dyDescent="0.3">
      <c r="A167" s="17" t="s">
        <v>505</v>
      </c>
      <c r="B167" s="18" t="s">
        <v>411</v>
      </c>
      <c r="C167" s="18" t="s">
        <v>411</v>
      </c>
      <c r="D167" s="18" t="s">
        <v>506</v>
      </c>
      <c r="E167" s="18" t="str">
        <f t="shared" si="9"/>
        <v>Average</v>
      </c>
      <c r="F167" s="18">
        <v>55</v>
      </c>
      <c r="G167" s="30">
        <f t="shared" si="10"/>
        <v>36.142166666666668</v>
      </c>
      <c r="H167" s="18">
        <v>216853</v>
      </c>
      <c r="I167" s="18" t="str">
        <f t="shared" si="11"/>
        <v>Clean</v>
      </c>
      <c r="J167" s="18" t="b">
        <v>0</v>
      </c>
      <c r="K167" s="18" t="str">
        <f t="shared" si="12"/>
        <v>Moderate</v>
      </c>
      <c r="L167" s="18">
        <v>0.60599999999999998</v>
      </c>
      <c r="M167" s="18" t="str">
        <f t="shared" si="13"/>
        <v>Medium Energy</v>
      </c>
      <c r="N167" s="18">
        <v>0.54</v>
      </c>
      <c r="O167" s="18">
        <v>7</v>
      </c>
      <c r="P167" s="18">
        <v>-6.2709999999999999</v>
      </c>
      <c r="Q167" s="18">
        <v>0</v>
      </c>
      <c r="R167" s="18">
        <v>3.39E-2</v>
      </c>
      <c r="S167" s="18">
        <v>0.182</v>
      </c>
      <c r="T167" s="18">
        <v>1.44E-4</v>
      </c>
      <c r="U167" s="18">
        <v>0.14399999999999999</v>
      </c>
      <c r="V167" s="18">
        <v>0.249</v>
      </c>
      <c r="W167" s="18">
        <v>79.951999999999998</v>
      </c>
      <c r="X167" s="18">
        <v>4</v>
      </c>
      <c r="Y167" s="19" t="s">
        <v>4</v>
      </c>
    </row>
    <row r="168" spans="1:25" x14ac:dyDescent="0.3">
      <c r="A168" s="14" t="s">
        <v>507</v>
      </c>
      <c r="B168" s="15" t="s">
        <v>508</v>
      </c>
      <c r="C168" s="15" t="s">
        <v>509</v>
      </c>
      <c r="D168" s="15" t="s">
        <v>510</v>
      </c>
      <c r="E168" s="15" t="str">
        <f t="shared" si="9"/>
        <v>Average</v>
      </c>
      <c r="F168" s="15">
        <v>50</v>
      </c>
      <c r="G168" s="30">
        <f t="shared" si="10"/>
        <v>24.833333333333332</v>
      </c>
      <c r="H168" s="15">
        <v>149000</v>
      </c>
      <c r="I168" s="15" t="str">
        <f t="shared" si="11"/>
        <v>Clean</v>
      </c>
      <c r="J168" s="15" t="b">
        <v>0</v>
      </c>
      <c r="K168" s="15" t="str">
        <f t="shared" si="12"/>
        <v>Moderate</v>
      </c>
      <c r="L168" s="15">
        <v>0.59499999999999997</v>
      </c>
      <c r="M168" s="15" t="str">
        <f t="shared" si="13"/>
        <v>Medium Energy</v>
      </c>
      <c r="N168" s="15">
        <v>0.64600000000000002</v>
      </c>
      <c r="O168" s="15">
        <v>0</v>
      </c>
      <c r="P168" s="15">
        <v>-5.4950000000000001</v>
      </c>
      <c r="Q168" s="15">
        <v>1</v>
      </c>
      <c r="R168" s="15">
        <v>3.27E-2</v>
      </c>
      <c r="S168" s="15">
        <v>0.11</v>
      </c>
      <c r="T168" s="15">
        <v>0</v>
      </c>
      <c r="U168" s="15">
        <v>0.25800000000000001</v>
      </c>
      <c r="V168" s="15">
        <v>0.56299999999999994</v>
      </c>
      <c r="W168" s="15">
        <v>120.04900000000001</v>
      </c>
      <c r="X168" s="15">
        <v>4</v>
      </c>
      <c r="Y168" s="16" t="s">
        <v>4</v>
      </c>
    </row>
    <row r="169" spans="1:25" x14ac:dyDescent="0.3">
      <c r="A169" s="17" t="s">
        <v>511</v>
      </c>
      <c r="B169" s="18" t="s">
        <v>512</v>
      </c>
      <c r="C169" s="18" t="s">
        <v>513</v>
      </c>
      <c r="D169" s="18" t="s">
        <v>514</v>
      </c>
      <c r="E169" s="18" t="str">
        <f t="shared" si="9"/>
        <v>Average</v>
      </c>
      <c r="F169" s="18">
        <v>52</v>
      </c>
      <c r="G169" s="30">
        <f t="shared" si="10"/>
        <v>26.205166666666667</v>
      </c>
      <c r="H169" s="18">
        <v>157231</v>
      </c>
      <c r="I169" s="18" t="str">
        <f t="shared" si="11"/>
        <v>Clean</v>
      </c>
      <c r="J169" s="18" t="b">
        <v>0</v>
      </c>
      <c r="K169" s="18" t="str">
        <f t="shared" si="12"/>
        <v>Very Danceable</v>
      </c>
      <c r="L169" s="18">
        <v>0.73599999999999999</v>
      </c>
      <c r="M169" s="18" t="str">
        <f t="shared" si="13"/>
        <v>Low Energy</v>
      </c>
      <c r="N169" s="18">
        <v>0.14499999999999999</v>
      </c>
      <c r="O169" s="18">
        <v>11</v>
      </c>
      <c r="P169" s="18">
        <v>-9.2149999999999999</v>
      </c>
      <c r="Q169" s="18">
        <v>1</v>
      </c>
      <c r="R169" s="18">
        <v>3.3599999999999998E-2</v>
      </c>
      <c r="S169" s="18">
        <v>0.85499999999999998</v>
      </c>
      <c r="T169" s="18">
        <v>0</v>
      </c>
      <c r="U169" s="18">
        <v>0.108</v>
      </c>
      <c r="V169" s="18">
        <v>0.23499999999999999</v>
      </c>
      <c r="W169" s="18">
        <v>129.83199999999999</v>
      </c>
      <c r="X169" s="18">
        <v>4</v>
      </c>
      <c r="Y169" s="19" t="s">
        <v>4</v>
      </c>
    </row>
    <row r="170" spans="1:25" x14ac:dyDescent="0.3">
      <c r="A170" s="14" t="s">
        <v>515</v>
      </c>
      <c r="B170" s="15" t="s">
        <v>497</v>
      </c>
      <c r="C170" s="15" t="s">
        <v>516</v>
      </c>
      <c r="D170" s="15" t="s">
        <v>516</v>
      </c>
      <c r="E170" s="15" t="str">
        <f t="shared" si="9"/>
        <v>Average</v>
      </c>
      <c r="F170" s="15">
        <v>54</v>
      </c>
      <c r="G170" s="30">
        <f t="shared" si="10"/>
        <v>37.767166666666668</v>
      </c>
      <c r="H170" s="15">
        <v>226603</v>
      </c>
      <c r="I170" s="15" t="str">
        <f t="shared" si="11"/>
        <v>Clean</v>
      </c>
      <c r="J170" s="15" t="b">
        <v>0</v>
      </c>
      <c r="K170" s="15" t="str">
        <f t="shared" si="12"/>
        <v>Moderate</v>
      </c>
      <c r="L170" s="15">
        <v>0.47899999999999998</v>
      </c>
      <c r="M170" s="15" t="str">
        <f t="shared" si="13"/>
        <v>Low Energy</v>
      </c>
      <c r="N170" s="15">
        <v>0.126</v>
      </c>
      <c r="O170" s="15">
        <v>1</v>
      </c>
      <c r="P170" s="15">
        <v>-13.974</v>
      </c>
      <c r="Q170" s="15">
        <v>1</v>
      </c>
      <c r="R170" s="15">
        <v>3.0300000000000001E-2</v>
      </c>
      <c r="S170" s="15">
        <v>0.96599999999999997</v>
      </c>
      <c r="T170" s="15">
        <v>0</v>
      </c>
      <c r="U170" s="15">
        <v>0.113</v>
      </c>
      <c r="V170" s="15">
        <v>0.27900000000000003</v>
      </c>
      <c r="W170" s="15">
        <v>96.326999999999998</v>
      </c>
      <c r="X170" s="15">
        <v>4</v>
      </c>
      <c r="Y170" s="16" t="s">
        <v>4</v>
      </c>
    </row>
    <row r="171" spans="1:25" x14ac:dyDescent="0.3">
      <c r="A171" s="17" t="s">
        <v>517</v>
      </c>
      <c r="B171" s="18" t="s">
        <v>184</v>
      </c>
      <c r="C171" s="18" t="s">
        <v>185</v>
      </c>
      <c r="D171" s="18" t="s">
        <v>518</v>
      </c>
      <c r="E171" s="18" t="str">
        <f t="shared" si="9"/>
        <v>Popular</v>
      </c>
      <c r="F171" s="18">
        <v>73</v>
      </c>
      <c r="G171" s="30">
        <f t="shared" si="10"/>
        <v>43.137666666666668</v>
      </c>
      <c r="H171" s="18">
        <v>258826</v>
      </c>
      <c r="I171" s="18" t="str">
        <f t="shared" si="11"/>
        <v>Clean</v>
      </c>
      <c r="J171" s="18" t="b">
        <v>0</v>
      </c>
      <c r="K171" s="18" t="str">
        <f t="shared" si="12"/>
        <v>Moderate</v>
      </c>
      <c r="L171" s="18">
        <v>0.58299999999999996</v>
      </c>
      <c r="M171" s="18" t="str">
        <f t="shared" si="13"/>
        <v>High Energy</v>
      </c>
      <c r="N171" s="18">
        <v>0.78600000000000003</v>
      </c>
      <c r="O171" s="18">
        <v>2</v>
      </c>
      <c r="P171" s="18">
        <v>-3.1419999999999999</v>
      </c>
      <c r="Q171" s="18">
        <v>0</v>
      </c>
      <c r="R171" s="18">
        <v>3.0099999999999998E-2</v>
      </c>
      <c r="S171" s="18">
        <v>2.0799999999999999E-2</v>
      </c>
      <c r="T171" s="18">
        <v>0</v>
      </c>
      <c r="U171" s="18">
        <v>0.188</v>
      </c>
      <c r="V171" s="18">
        <v>0.57299999999999995</v>
      </c>
      <c r="W171" s="18">
        <v>123.05500000000001</v>
      </c>
      <c r="X171" s="18">
        <v>4</v>
      </c>
      <c r="Y171" s="19" t="s">
        <v>4</v>
      </c>
    </row>
    <row r="172" spans="1:25" x14ac:dyDescent="0.3">
      <c r="A172" s="14" t="s">
        <v>519</v>
      </c>
      <c r="B172" s="15" t="s">
        <v>63</v>
      </c>
      <c r="C172" s="15" t="s">
        <v>520</v>
      </c>
      <c r="D172" s="15" t="s">
        <v>520</v>
      </c>
      <c r="E172" s="15" t="str">
        <f t="shared" si="9"/>
        <v>Low</v>
      </c>
      <c r="F172" s="15">
        <v>38</v>
      </c>
      <c r="G172" s="30">
        <f t="shared" si="10"/>
        <v>32.335500000000003</v>
      </c>
      <c r="H172" s="15">
        <v>194013</v>
      </c>
      <c r="I172" s="15" t="str">
        <f t="shared" si="11"/>
        <v>Clean</v>
      </c>
      <c r="J172" s="15" t="b">
        <v>0</v>
      </c>
      <c r="K172" s="15" t="str">
        <f t="shared" si="12"/>
        <v>Moderate</v>
      </c>
      <c r="L172" s="15">
        <v>0.54900000000000004</v>
      </c>
      <c r="M172" s="15" t="str">
        <f t="shared" si="13"/>
        <v>Low Energy</v>
      </c>
      <c r="N172" s="15">
        <v>0.29099999999999998</v>
      </c>
      <c r="O172" s="15">
        <v>2</v>
      </c>
      <c r="P172" s="15">
        <v>-13.457000000000001</v>
      </c>
      <c r="Q172" s="15">
        <v>1</v>
      </c>
      <c r="R172" s="15">
        <v>3.8800000000000001E-2</v>
      </c>
      <c r="S172" s="15">
        <v>0.85799999999999998</v>
      </c>
      <c r="T172" s="15">
        <v>8.4599999999999996E-4</v>
      </c>
      <c r="U172" s="15">
        <v>0.129</v>
      </c>
      <c r="V172" s="15">
        <v>0.376</v>
      </c>
      <c r="W172" s="15">
        <v>75.153000000000006</v>
      </c>
      <c r="X172" s="15">
        <v>4</v>
      </c>
      <c r="Y172" s="16" t="s">
        <v>4</v>
      </c>
    </row>
    <row r="173" spans="1:25" x14ac:dyDescent="0.3">
      <c r="A173" s="17" t="s">
        <v>521</v>
      </c>
      <c r="B173" s="18" t="s">
        <v>522</v>
      </c>
      <c r="C173" s="18" t="s">
        <v>523</v>
      </c>
      <c r="D173" s="18" t="s">
        <v>524</v>
      </c>
      <c r="E173" s="18" t="str">
        <f t="shared" si="9"/>
        <v>Average</v>
      </c>
      <c r="F173" s="18">
        <v>53</v>
      </c>
      <c r="G173" s="30">
        <f t="shared" si="10"/>
        <v>40.406500000000001</v>
      </c>
      <c r="H173" s="18">
        <v>242439</v>
      </c>
      <c r="I173" s="18" t="str">
        <f t="shared" si="11"/>
        <v>Clean</v>
      </c>
      <c r="J173" s="18" t="b">
        <v>0</v>
      </c>
      <c r="K173" s="18" t="str">
        <f t="shared" si="12"/>
        <v>Moderate</v>
      </c>
      <c r="L173" s="18">
        <v>0.41799999999999998</v>
      </c>
      <c r="M173" s="18" t="str">
        <f t="shared" si="13"/>
        <v>Medium Energy</v>
      </c>
      <c r="N173" s="18">
        <v>0.48899999999999999</v>
      </c>
      <c r="O173" s="18">
        <v>6</v>
      </c>
      <c r="P173" s="18">
        <v>-8.3729999999999993</v>
      </c>
      <c r="Q173" s="18">
        <v>0</v>
      </c>
      <c r="R173" s="18">
        <v>3.2300000000000002E-2</v>
      </c>
      <c r="S173" s="18">
        <v>0.28699999999999998</v>
      </c>
      <c r="T173" s="18">
        <v>2.8799999999999999E-2</v>
      </c>
      <c r="U173" s="18">
        <v>0.42</v>
      </c>
      <c r="V173" s="18">
        <v>0.39800000000000002</v>
      </c>
      <c r="W173" s="18">
        <v>72.891000000000005</v>
      </c>
      <c r="X173" s="18">
        <v>4</v>
      </c>
      <c r="Y173" s="19" t="s">
        <v>4</v>
      </c>
    </row>
    <row r="174" spans="1:25" x14ac:dyDescent="0.3">
      <c r="A174" s="14" t="s">
        <v>525</v>
      </c>
      <c r="B174" s="15" t="s">
        <v>526</v>
      </c>
      <c r="C174" s="15" t="s">
        <v>527</v>
      </c>
      <c r="D174" s="15" t="s">
        <v>527</v>
      </c>
      <c r="E174" s="15" t="str">
        <f t="shared" si="9"/>
        <v>Average</v>
      </c>
      <c r="F174" s="15">
        <v>55</v>
      </c>
      <c r="G174" s="30">
        <f t="shared" si="10"/>
        <v>38.75</v>
      </c>
      <c r="H174" s="15">
        <v>232500</v>
      </c>
      <c r="I174" s="15" t="str">
        <f t="shared" si="11"/>
        <v>Clean</v>
      </c>
      <c r="J174" s="15" t="b">
        <v>0</v>
      </c>
      <c r="K174" s="15" t="str">
        <f t="shared" si="12"/>
        <v>Moderate</v>
      </c>
      <c r="L174" s="15">
        <v>0.498</v>
      </c>
      <c r="M174" s="15" t="str">
        <f t="shared" si="13"/>
        <v>Low Energy</v>
      </c>
      <c r="N174" s="15">
        <v>0.12</v>
      </c>
      <c r="O174" s="15">
        <v>0</v>
      </c>
      <c r="P174" s="15">
        <v>-17.721</v>
      </c>
      <c r="Q174" s="15">
        <v>1</v>
      </c>
      <c r="R174" s="15">
        <v>4.87E-2</v>
      </c>
      <c r="S174" s="15">
        <v>0.85099999999999998</v>
      </c>
      <c r="T174" s="15">
        <v>0</v>
      </c>
      <c r="U174" s="15">
        <v>0.17100000000000001</v>
      </c>
      <c r="V174" s="15">
        <v>0.33800000000000002</v>
      </c>
      <c r="W174" s="15">
        <v>121.187</v>
      </c>
      <c r="X174" s="15">
        <v>4</v>
      </c>
      <c r="Y174" s="16" t="s">
        <v>4</v>
      </c>
    </row>
    <row r="175" spans="1:25" x14ac:dyDescent="0.3">
      <c r="A175" s="17" t="s">
        <v>528</v>
      </c>
      <c r="B175" s="18" t="s">
        <v>529</v>
      </c>
      <c r="C175" s="18" t="s">
        <v>530</v>
      </c>
      <c r="D175" s="18" t="s">
        <v>530</v>
      </c>
      <c r="E175" s="18" t="str">
        <f t="shared" si="9"/>
        <v>Average</v>
      </c>
      <c r="F175" s="18">
        <v>41</v>
      </c>
      <c r="G175" s="30">
        <f t="shared" si="10"/>
        <v>26.131166666666665</v>
      </c>
      <c r="H175" s="18">
        <v>156787</v>
      </c>
      <c r="I175" s="18" t="str">
        <f t="shared" si="11"/>
        <v>Clean</v>
      </c>
      <c r="J175" s="18" t="b">
        <v>0</v>
      </c>
      <c r="K175" s="18" t="str">
        <f t="shared" si="12"/>
        <v>Very Danceable</v>
      </c>
      <c r="L175" s="18">
        <v>0.76900000000000002</v>
      </c>
      <c r="M175" s="18" t="str">
        <f t="shared" si="13"/>
        <v>Low Energy</v>
      </c>
      <c r="N175" s="18">
        <v>0.13500000000000001</v>
      </c>
      <c r="O175" s="18">
        <v>5</v>
      </c>
      <c r="P175" s="18">
        <v>-12.048999999999999</v>
      </c>
      <c r="Q175" s="18">
        <v>0</v>
      </c>
      <c r="R175" s="18">
        <v>6.0999999999999999E-2</v>
      </c>
      <c r="S175" s="18">
        <v>0.98599999999999999</v>
      </c>
      <c r="T175" s="18">
        <v>0.90500000000000003</v>
      </c>
      <c r="U175" s="18">
        <v>0.106</v>
      </c>
      <c r="V175" s="18">
        <v>0.47099999999999997</v>
      </c>
      <c r="W175" s="18">
        <v>103.93899999999999</v>
      </c>
      <c r="X175" s="18">
        <v>4</v>
      </c>
      <c r="Y175" s="19" t="s">
        <v>4</v>
      </c>
    </row>
    <row r="176" spans="1:25" x14ac:dyDescent="0.3">
      <c r="A176" s="14" t="s">
        <v>531</v>
      </c>
      <c r="B176" s="15" t="s">
        <v>532</v>
      </c>
      <c r="C176" s="15" t="s">
        <v>533</v>
      </c>
      <c r="D176" s="15" t="s">
        <v>533</v>
      </c>
      <c r="E176" s="15" t="str">
        <f t="shared" si="9"/>
        <v>Average</v>
      </c>
      <c r="F176" s="15">
        <v>46</v>
      </c>
      <c r="G176" s="30">
        <f t="shared" si="10"/>
        <v>43.970500000000001</v>
      </c>
      <c r="H176" s="15">
        <v>263823</v>
      </c>
      <c r="I176" s="15" t="str">
        <f t="shared" si="11"/>
        <v>Clean</v>
      </c>
      <c r="J176" s="15" t="b">
        <v>0</v>
      </c>
      <c r="K176" s="15" t="str">
        <f t="shared" si="12"/>
        <v>Moderate</v>
      </c>
      <c r="L176" s="15">
        <v>0.434</v>
      </c>
      <c r="M176" s="15" t="str">
        <f t="shared" si="13"/>
        <v>Medium Energy</v>
      </c>
      <c r="N176" s="15">
        <v>0.46899999999999997</v>
      </c>
      <c r="O176" s="15">
        <v>0</v>
      </c>
      <c r="P176" s="15">
        <v>-7.8490000000000002</v>
      </c>
      <c r="Q176" s="15">
        <v>0</v>
      </c>
      <c r="R176" s="15">
        <v>2.6499999999999999E-2</v>
      </c>
      <c r="S176" s="15">
        <v>0.52</v>
      </c>
      <c r="T176" s="15">
        <v>3.28E-4</v>
      </c>
      <c r="U176" s="15">
        <v>0.108</v>
      </c>
      <c r="V176" s="15">
        <v>5.6800000000000003E-2</v>
      </c>
      <c r="W176" s="15">
        <v>136.28200000000001</v>
      </c>
      <c r="X176" s="15">
        <v>4</v>
      </c>
      <c r="Y176" s="16" t="s">
        <v>4</v>
      </c>
    </row>
    <row r="177" spans="1:25" x14ac:dyDescent="0.3">
      <c r="A177" s="17" t="s">
        <v>534</v>
      </c>
      <c r="B177" s="18" t="s">
        <v>535</v>
      </c>
      <c r="C177" s="18" t="s">
        <v>536</v>
      </c>
      <c r="D177" s="18" t="s">
        <v>536</v>
      </c>
      <c r="E177" s="18" t="str">
        <f t="shared" si="9"/>
        <v>Popular</v>
      </c>
      <c r="F177" s="18">
        <v>63</v>
      </c>
      <c r="G177" s="30">
        <f t="shared" si="10"/>
        <v>41.819333333333333</v>
      </c>
      <c r="H177" s="18">
        <v>250916</v>
      </c>
      <c r="I177" s="18" t="str">
        <f t="shared" si="11"/>
        <v>Clean</v>
      </c>
      <c r="J177" s="18" t="b">
        <v>0</v>
      </c>
      <c r="K177" s="18" t="str">
        <f t="shared" si="12"/>
        <v>Moderate</v>
      </c>
      <c r="L177" s="18">
        <v>0.45200000000000001</v>
      </c>
      <c r="M177" s="18" t="str">
        <f t="shared" si="13"/>
        <v>Low Energy</v>
      </c>
      <c r="N177" s="18">
        <v>0.19800000000000001</v>
      </c>
      <c r="O177" s="18">
        <v>10</v>
      </c>
      <c r="P177" s="18">
        <v>-9.3740000000000006</v>
      </c>
      <c r="Q177" s="18">
        <v>1</v>
      </c>
      <c r="R177" s="18">
        <v>3.3500000000000002E-2</v>
      </c>
      <c r="S177" s="18">
        <v>0.93100000000000005</v>
      </c>
      <c r="T177" s="21" t="s">
        <v>537</v>
      </c>
      <c r="U177" s="18">
        <v>0.1</v>
      </c>
      <c r="V177" s="18">
        <v>0.217</v>
      </c>
      <c r="W177" s="18">
        <v>119.499</v>
      </c>
      <c r="X177" s="18">
        <v>4</v>
      </c>
      <c r="Y177" s="19" t="s">
        <v>4</v>
      </c>
    </row>
    <row r="178" spans="1:25" x14ac:dyDescent="0.3">
      <c r="A178" s="14" t="s">
        <v>538</v>
      </c>
      <c r="B178" s="15" t="s">
        <v>120</v>
      </c>
      <c r="C178" s="15" t="s">
        <v>539</v>
      </c>
      <c r="D178" s="15" t="s">
        <v>539</v>
      </c>
      <c r="E178" s="15" t="str">
        <f t="shared" si="9"/>
        <v>Popular</v>
      </c>
      <c r="F178" s="15">
        <v>66</v>
      </c>
      <c r="G178" s="30">
        <f t="shared" si="10"/>
        <v>39.74883333333333</v>
      </c>
      <c r="H178" s="15">
        <v>238493</v>
      </c>
      <c r="I178" s="15" t="str">
        <f t="shared" si="11"/>
        <v>Clean</v>
      </c>
      <c r="J178" s="15" t="b">
        <v>0</v>
      </c>
      <c r="K178" s="15" t="str">
        <f t="shared" si="12"/>
        <v>Moderate</v>
      </c>
      <c r="L178" s="15">
        <v>0.54400000000000004</v>
      </c>
      <c r="M178" s="15" t="str">
        <f t="shared" si="13"/>
        <v>Medium Energy</v>
      </c>
      <c r="N178" s="15">
        <v>0.5</v>
      </c>
      <c r="O178" s="15">
        <v>11</v>
      </c>
      <c r="P178" s="15">
        <v>-8.2530000000000001</v>
      </c>
      <c r="Q178" s="15">
        <v>1</v>
      </c>
      <c r="R178" s="15">
        <v>2.5999999999999999E-2</v>
      </c>
      <c r="S178" s="15">
        <v>3.2500000000000001E-2</v>
      </c>
      <c r="T178" s="20" t="s">
        <v>540</v>
      </c>
      <c r="U178" s="15">
        <v>0.109</v>
      </c>
      <c r="V178" s="15">
        <v>0.17699999999999999</v>
      </c>
      <c r="W178" s="15">
        <v>93.620999999999995</v>
      </c>
      <c r="X178" s="15">
        <v>4</v>
      </c>
      <c r="Y178" s="16" t="s">
        <v>4</v>
      </c>
    </row>
    <row r="179" spans="1:25" x14ac:dyDescent="0.3">
      <c r="A179" s="17" t="s">
        <v>541</v>
      </c>
      <c r="B179" s="18" t="s">
        <v>388</v>
      </c>
      <c r="C179" s="18" t="s">
        <v>542</v>
      </c>
      <c r="D179" s="18" t="s">
        <v>542</v>
      </c>
      <c r="E179" s="18" t="str">
        <f t="shared" si="9"/>
        <v>Average</v>
      </c>
      <c r="F179" s="18">
        <v>54</v>
      </c>
      <c r="G179" s="30">
        <f t="shared" si="10"/>
        <v>35.984333333333332</v>
      </c>
      <c r="H179" s="18">
        <v>215906</v>
      </c>
      <c r="I179" s="18" t="str">
        <f t="shared" si="11"/>
        <v>Clean</v>
      </c>
      <c r="J179" s="18" t="b">
        <v>0</v>
      </c>
      <c r="K179" s="18" t="str">
        <f t="shared" si="12"/>
        <v>Moderate</v>
      </c>
      <c r="L179" s="18">
        <v>0.66200000000000003</v>
      </c>
      <c r="M179" s="18" t="str">
        <f t="shared" si="13"/>
        <v>Low Energy</v>
      </c>
      <c r="N179" s="18">
        <v>0.187</v>
      </c>
      <c r="O179" s="18">
        <v>2</v>
      </c>
      <c r="P179" s="18">
        <v>-9.0030000000000001</v>
      </c>
      <c r="Q179" s="18">
        <v>1</v>
      </c>
      <c r="R179" s="18">
        <v>2.6800000000000001E-2</v>
      </c>
      <c r="S179" s="18">
        <v>0.96899999999999997</v>
      </c>
      <c r="T179" s="18">
        <v>2.7300000000000002E-4</v>
      </c>
      <c r="U179" s="18">
        <v>9.2200000000000004E-2</v>
      </c>
      <c r="V179" s="18">
        <v>0.23300000000000001</v>
      </c>
      <c r="W179" s="18">
        <v>104.988</v>
      </c>
      <c r="X179" s="18">
        <v>4</v>
      </c>
      <c r="Y179" s="19" t="s">
        <v>4</v>
      </c>
    </row>
    <row r="180" spans="1:25" x14ac:dyDescent="0.3">
      <c r="A180" s="14" t="s">
        <v>543</v>
      </c>
      <c r="B180" s="15" t="s">
        <v>14</v>
      </c>
      <c r="C180" s="15" t="s">
        <v>544</v>
      </c>
      <c r="D180" s="15" t="s">
        <v>544</v>
      </c>
      <c r="E180" s="15" t="str">
        <f t="shared" si="9"/>
        <v>Popular</v>
      </c>
      <c r="F180" s="15">
        <v>62</v>
      </c>
      <c r="G180" s="30">
        <f t="shared" si="10"/>
        <v>30.189333333333334</v>
      </c>
      <c r="H180" s="15">
        <v>181136</v>
      </c>
      <c r="I180" s="15" t="str">
        <f t="shared" si="11"/>
        <v>Clean</v>
      </c>
      <c r="J180" s="15" t="b">
        <v>0</v>
      </c>
      <c r="K180" s="15" t="str">
        <f t="shared" si="12"/>
        <v>Moderate</v>
      </c>
      <c r="L180" s="15">
        <v>0.497</v>
      </c>
      <c r="M180" s="15" t="str">
        <f t="shared" si="13"/>
        <v>Low Energy</v>
      </c>
      <c r="N180" s="15">
        <v>0.13</v>
      </c>
      <c r="O180" s="15">
        <v>6</v>
      </c>
      <c r="P180" s="15">
        <v>-15.571</v>
      </c>
      <c r="Q180" s="15">
        <v>1</v>
      </c>
      <c r="R180" s="15">
        <v>4.36E-2</v>
      </c>
      <c r="S180" s="15">
        <v>0.84099999999999997</v>
      </c>
      <c r="T180" s="15">
        <v>0</v>
      </c>
      <c r="U180" s="15">
        <v>0.111</v>
      </c>
      <c r="V180" s="15">
        <v>0.17899999999999999</v>
      </c>
      <c r="W180" s="15">
        <v>130.76900000000001</v>
      </c>
      <c r="X180" s="15">
        <v>3</v>
      </c>
      <c r="Y180" s="16" t="s">
        <v>4</v>
      </c>
    </row>
    <row r="181" spans="1:25" x14ac:dyDescent="0.3">
      <c r="A181" s="17" t="s">
        <v>545</v>
      </c>
      <c r="B181" s="18" t="s">
        <v>497</v>
      </c>
      <c r="C181" s="18" t="s">
        <v>546</v>
      </c>
      <c r="D181" s="18" t="s">
        <v>547</v>
      </c>
      <c r="E181" s="18" t="str">
        <f t="shared" si="9"/>
        <v>Average</v>
      </c>
      <c r="F181" s="18">
        <v>57</v>
      </c>
      <c r="G181" s="30">
        <f t="shared" si="10"/>
        <v>26.244333333333334</v>
      </c>
      <c r="H181" s="18">
        <v>157466</v>
      </c>
      <c r="I181" s="18" t="str">
        <f t="shared" si="11"/>
        <v>Clean</v>
      </c>
      <c r="J181" s="18" t="b">
        <v>0</v>
      </c>
      <c r="K181" s="18" t="str">
        <f t="shared" si="12"/>
        <v>Moderate</v>
      </c>
      <c r="L181" s="18">
        <v>0.52800000000000002</v>
      </c>
      <c r="M181" s="18" t="str">
        <f t="shared" si="13"/>
        <v>Low Energy</v>
      </c>
      <c r="N181" s="18">
        <v>0.29099999999999998</v>
      </c>
      <c r="O181" s="18">
        <v>10</v>
      </c>
      <c r="P181" s="18">
        <v>-9.6959999999999997</v>
      </c>
      <c r="Q181" s="18">
        <v>1</v>
      </c>
      <c r="R181" s="18">
        <v>4.0099999999999997E-2</v>
      </c>
      <c r="S181" s="18">
        <v>0.91400000000000003</v>
      </c>
      <c r="T181" s="18">
        <v>0</v>
      </c>
      <c r="U181" s="18">
        <v>0.121</v>
      </c>
      <c r="V181" s="18">
        <v>0.35499999999999998</v>
      </c>
      <c r="W181" s="18">
        <v>76.805000000000007</v>
      </c>
      <c r="X181" s="18">
        <v>4</v>
      </c>
      <c r="Y181" s="19" t="s">
        <v>4</v>
      </c>
    </row>
    <row r="182" spans="1:25" x14ac:dyDescent="0.3">
      <c r="A182" s="14" t="s">
        <v>548</v>
      </c>
      <c r="B182" s="15" t="s">
        <v>549</v>
      </c>
      <c r="C182" s="15" t="s">
        <v>550</v>
      </c>
      <c r="D182" s="15" t="s">
        <v>550</v>
      </c>
      <c r="E182" s="15" t="str">
        <f t="shared" si="9"/>
        <v>Popular</v>
      </c>
      <c r="F182" s="15">
        <v>68</v>
      </c>
      <c r="G182" s="30">
        <f t="shared" si="10"/>
        <v>38.954666666666668</v>
      </c>
      <c r="H182" s="15">
        <v>233728</v>
      </c>
      <c r="I182" s="15" t="str">
        <f t="shared" si="11"/>
        <v>Clean</v>
      </c>
      <c r="J182" s="15" t="b">
        <v>0</v>
      </c>
      <c r="K182" s="15" t="str">
        <f t="shared" si="12"/>
        <v>Moderate</v>
      </c>
      <c r="L182" s="15">
        <v>0.46100000000000002</v>
      </c>
      <c r="M182" s="15" t="str">
        <f t="shared" si="13"/>
        <v>Medium Energy</v>
      </c>
      <c r="N182" s="15">
        <v>0.52200000000000002</v>
      </c>
      <c r="O182" s="15">
        <v>11</v>
      </c>
      <c r="P182" s="15">
        <v>-7.5129999999999999</v>
      </c>
      <c r="Q182" s="15">
        <v>1</v>
      </c>
      <c r="R182" s="15">
        <v>4.2999999999999997E-2</v>
      </c>
      <c r="S182" s="15">
        <v>0.36</v>
      </c>
      <c r="T182" s="15">
        <v>0</v>
      </c>
      <c r="U182" s="15">
        <v>0.123</v>
      </c>
      <c r="V182" s="15">
        <v>0.44600000000000001</v>
      </c>
      <c r="W182" s="15">
        <v>157.768</v>
      </c>
      <c r="X182" s="15">
        <v>4</v>
      </c>
      <c r="Y182" s="16" t="s">
        <v>4</v>
      </c>
    </row>
    <row r="183" spans="1:25" x14ac:dyDescent="0.3">
      <c r="A183" s="17" t="s">
        <v>551</v>
      </c>
      <c r="B183" s="18" t="s">
        <v>319</v>
      </c>
      <c r="C183" s="18" t="s">
        <v>72</v>
      </c>
      <c r="D183" s="18" t="s">
        <v>552</v>
      </c>
      <c r="E183" s="18" t="str">
        <f t="shared" si="9"/>
        <v>Popular</v>
      </c>
      <c r="F183" s="18">
        <v>62</v>
      </c>
      <c r="G183" s="30">
        <f t="shared" si="10"/>
        <v>36.101999999999997</v>
      </c>
      <c r="H183" s="18">
        <v>216612</v>
      </c>
      <c r="I183" s="18" t="str">
        <f t="shared" si="11"/>
        <v>Clean</v>
      </c>
      <c r="J183" s="18" t="b">
        <v>0</v>
      </c>
      <c r="K183" s="18" t="str">
        <f t="shared" si="12"/>
        <v>Moderate</v>
      </c>
      <c r="L183" s="18">
        <v>0.48299999999999998</v>
      </c>
      <c r="M183" s="18" t="str">
        <f t="shared" si="13"/>
        <v>Medium Energy</v>
      </c>
      <c r="N183" s="18">
        <v>0.50600000000000001</v>
      </c>
      <c r="O183" s="18">
        <v>9</v>
      </c>
      <c r="P183" s="18">
        <v>-6.0579999999999998</v>
      </c>
      <c r="Q183" s="18">
        <v>1</v>
      </c>
      <c r="R183" s="18">
        <v>3.4700000000000002E-2</v>
      </c>
      <c r="S183" s="18">
        <v>0.39400000000000002</v>
      </c>
      <c r="T183" s="18">
        <v>0</v>
      </c>
      <c r="U183" s="18">
        <v>9.4600000000000004E-2</v>
      </c>
      <c r="V183" s="18">
        <v>0.70499999999999996</v>
      </c>
      <c r="W183" s="18">
        <v>87.337000000000003</v>
      </c>
      <c r="X183" s="18">
        <v>4</v>
      </c>
      <c r="Y183" s="19" t="s">
        <v>4</v>
      </c>
    </row>
    <row r="184" spans="1:25" x14ac:dyDescent="0.3">
      <c r="A184" s="14" t="s">
        <v>553</v>
      </c>
      <c r="B184" s="15" t="s">
        <v>30</v>
      </c>
      <c r="C184" s="15" t="s">
        <v>255</v>
      </c>
      <c r="D184" s="15" t="s">
        <v>554</v>
      </c>
      <c r="E184" s="15" t="str">
        <f t="shared" si="9"/>
        <v>Average</v>
      </c>
      <c r="F184" s="15">
        <v>53</v>
      </c>
      <c r="G184" s="30">
        <f t="shared" si="10"/>
        <v>40.864333333333335</v>
      </c>
      <c r="H184" s="15">
        <v>245186</v>
      </c>
      <c r="I184" s="15" t="str">
        <f t="shared" si="11"/>
        <v>Clean</v>
      </c>
      <c r="J184" s="15" t="b">
        <v>0</v>
      </c>
      <c r="K184" s="15" t="str">
        <f t="shared" si="12"/>
        <v>Low</v>
      </c>
      <c r="L184" s="15">
        <v>0.39200000000000002</v>
      </c>
      <c r="M184" s="15" t="str">
        <f t="shared" si="13"/>
        <v>Medium Energy</v>
      </c>
      <c r="N184" s="15">
        <v>0.42299999999999999</v>
      </c>
      <c r="O184" s="15">
        <v>7</v>
      </c>
      <c r="P184" s="15">
        <v>-7.8129999999999997</v>
      </c>
      <c r="Q184" s="15">
        <v>1</v>
      </c>
      <c r="R184" s="15">
        <v>3.4799999999999998E-2</v>
      </c>
      <c r="S184" s="15">
        <v>0.27</v>
      </c>
      <c r="T184" s="15">
        <v>0</v>
      </c>
      <c r="U184" s="15">
        <v>0.11700000000000001</v>
      </c>
      <c r="V184" s="15">
        <v>0.28799999999999998</v>
      </c>
      <c r="W184" s="15">
        <v>113.53700000000001</v>
      </c>
      <c r="X184" s="15">
        <v>4</v>
      </c>
      <c r="Y184" s="16" t="s">
        <v>4</v>
      </c>
    </row>
    <row r="185" spans="1:25" x14ac:dyDescent="0.3">
      <c r="A185" s="17" t="s">
        <v>555</v>
      </c>
      <c r="B185" s="18" t="s">
        <v>406</v>
      </c>
      <c r="C185" s="18" t="s">
        <v>407</v>
      </c>
      <c r="D185" s="18" t="s">
        <v>556</v>
      </c>
      <c r="E185" s="18" t="str">
        <f t="shared" si="9"/>
        <v>Average</v>
      </c>
      <c r="F185" s="18">
        <v>44</v>
      </c>
      <c r="G185" s="30">
        <f t="shared" si="10"/>
        <v>36.602166666666669</v>
      </c>
      <c r="H185" s="18">
        <v>219613</v>
      </c>
      <c r="I185" s="18" t="str">
        <f t="shared" si="11"/>
        <v>Clean</v>
      </c>
      <c r="J185" s="18" t="b">
        <v>0</v>
      </c>
      <c r="K185" s="18" t="str">
        <f t="shared" si="12"/>
        <v>Moderate</v>
      </c>
      <c r="L185" s="18">
        <v>0.42</v>
      </c>
      <c r="M185" s="18" t="str">
        <f t="shared" si="13"/>
        <v>Low Energy</v>
      </c>
      <c r="N185" s="18">
        <v>0.2</v>
      </c>
      <c r="O185" s="18">
        <v>7</v>
      </c>
      <c r="P185" s="18">
        <v>-18.827000000000002</v>
      </c>
      <c r="Q185" s="18">
        <v>1</v>
      </c>
      <c r="R185" s="18">
        <v>4.9200000000000001E-2</v>
      </c>
      <c r="S185" s="18">
        <v>0.92900000000000005</v>
      </c>
      <c r="T185" s="18">
        <v>0.49</v>
      </c>
      <c r="U185" s="18">
        <v>7.5800000000000006E-2</v>
      </c>
      <c r="V185" s="18">
        <v>0.16400000000000001</v>
      </c>
      <c r="W185" s="18">
        <v>87.248000000000005</v>
      </c>
      <c r="X185" s="18">
        <v>4</v>
      </c>
      <c r="Y185" s="19" t="s">
        <v>4</v>
      </c>
    </row>
    <row r="186" spans="1:25" x14ac:dyDescent="0.3">
      <c r="A186" s="14" t="s">
        <v>557</v>
      </c>
      <c r="B186" s="15" t="s">
        <v>411</v>
      </c>
      <c r="C186" s="15" t="s">
        <v>412</v>
      </c>
      <c r="D186" s="15" t="s">
        <v>558</v>
      </c>
      <c r="E186" s="15" t="str">
        <f t="shared" si="9"/>
        <v>Average</v>
      </c>
      <c r="F186" s="15">
        <v>57</v>
      </c>
      <c r="G186" s="30">
        <f t="shared" si="10"/>
        <v>41.493333333333332</v>
      </c>
      <c r="H186" s="15">
        <v>248960</v>
      </c>
      <c r="I186" s="15" t="str">
        <f t="shared" si="11"/>
        <v>Clean</v>
      </c>
      <c r="J186" s="15" t="b">
        <v>0</v>
      </c>
      <c r="K186" s="15" t="str">
        <f t="shared" si="12"/>
        <v>Moderate</v>
      </c>
      <c r="L186" s="15">
        <v>0.65700000000000003</v>
      </c>
      <c r="M186" s="15" t="str">
        <f t="shared" si="13"/>
        <v>High Energy</v>
      </c>
      <c r="N186" s="15">
        <v>0.71599999999999997</v>
      </c>
      <c r="O186" s="15">
        <v>2</v>
      </c>
      <c r="P186" s="15">
        <v>-5.6749999999999998</v>
      </c>
      <c r="Q186" s="15">
        <v>1</v>
      </c>
      <c r="R186" s="15">
        <v>3.0099999999999998E-2</v>
      </c>
      <c r="S186" s="15">
        <v>1.4E-2</v>
      </c>
      <c r="T186" s="15">
        <v>0</v>
      </c>
      <c r="U186" s="15">
        <v>4.8300000000000003E-2</v>
      </c>
      <c r="V186" s="15">
        <v>0.435</v>
      </c>
      <c r="W186" s="15">
        <v>93.924000000000007</v>
      </c>
      <c r="X186" s="15">
        <v>4</v>
      </c>
      <c r="Y186" s="16" t="s">
        <v>4</v>
      </c>
    </row>
    <row r="187" spans="1:25" x14ac:dyDescent="0.3">
      <c r="A187" s="17" t="s">
        <v>559</v>
      </c>
      <c r="B187" s="18" t="s">
        <v>560</v>
      </c>
      <c r="C187" s="18" t="s">
        <v>561</v>
      </c>
      <c r="D187" s="18" t="s">
        <v>562</v>
      </c>
      <c r="E187" s="18" t="str">
        <f t="shared" si="9"/>
        <v>Average</v>
      </c>
      <c r="F187" s="18">
        <v>52</v>
      </c>
      <c r="G187" s="30">
        <f t="shared" si="10"/>
        <v>42.077666666666666</v>
      </c>
      <c r="H187" s="18">
        <v>252466</v>
      </c>
      <c r="I187" s="18" t="str">
        <f t="shared" si="11"/>
        <v>Clean</v>
      </c>
      <c r="J187" s="18" t="b">
        <v>0</v>
      </c>
      <c r="K187" s="18" t="str">
        <f t="shared" si="12"/>
        <v>Moderate</v>
      </c>
      <c r="L187" s="18">
        <v>0.495</v>
      </c>
      <c r="M187" s="18" t="str">
        <f t="shared" si="13"/>
        <v>Low Energy</v>
      </c>
      <c r="N187" s="18">
        <v>0.185</v>
      </c>
      <c r="O187" s="18">
        <v>9</v>
      </c>
      <c r="P187" s="18">
        <v>-13.824</v>
      </c>
      <c r="Q187" s="18">
        <v>1</v>
      </c>
      <c r="R187" s="18">
        <v>2.8799999999999999E-2</v>
      </c>
      <c r="S187" s="18">
        <v>0.69199999999999995</v>
      </c>
      <c r="T187" s="18">
        <v>4.0299999999999997E-3</v>
      </c>
      <c r="U187" s="18">
        <v>0.109</v>
      </c>
      <c r="V187" s="18">
        <v>0.19600000000000001</v>
      </c>
      <c r="W187" s="18">
        <v>101.89</v>
      </c>
      <c r="X187" s="18">
        <v>4</v>
      </c>
      <c r="Y187" s="19" t="s">
        <v>4</v>
      </c>
    </row>
    <row r="188" spans="1:25" x14ac:dyDescent="0.3">
      <c r="A188" s="14" t="s">
        <v>563</v>
      </c>
      <c r="B188" s="15" t="s">
        <v>19</v>
      </c>
      <c r="C188" s="15" t="s">
        <v>564</v>
      </c>
      <c r="D188" s="15" t="s">
        <v>565</v>
      </c>
      <c r="E188" s="15" t="str">
        <f t="shared" si="9"/>
        <v>Average</v>
      </c>
      <c r="F188" s="15">
        <v>53</v>
      </c>
      <c r="G188" s="30">
        <f t="shared" si="10"/>
        <v>41.102166666666669</v>
      </c>
      <c r="H188" s="15">
        <v>246613</v>
      </c>
      <c r="I188" s="15" t="str">
        <f t="shared" si="11"/>
        <v>Clean</v>
      </c>
      <c r="J188" s="15" t="b">
        <v>0</v>
      </c>
      <c r="K188" s="15" t="str">
        <f t="shared" si="12"/>
        <v>Moderate</v>
      </c>
      <c r="L188" s="15">
        <v>0.55000000000000004</v>
      </c>
      <c r="M188" s="15" t="str">
        <f t="shared" si="13"/>
        <v>Medium Energy</v>
      </c>
      <c r="N188" s="15">
        <v>0.499</v>
      </c>
      <c r="O188" s="15">
        <v>4</v>
      </c>
      <c r="P188" s="15">
        <v>-9.5020000000000007</v>
      </c>
      <c r="Q188" s="15">
        <v>1</v>
      </c>
      <c r="R188" s="15">
        <v>3.3799999999999997E-2</v>
      </c>
      <c r="S188" s="15">
        <v>0.47199999999999998</v>
      </c>
      <c r="T188" s="20" t="s">
        <v>566</v>
      </c>
      <c r="U188" s="15">
        <v>7.9799999999999996E-2</v>
      </c>
      <c r="V188" s="15">
        <v>0.14399999999999999</v>
      </c>
      <c r="W188" s="15">
        <v>86.965999999999994</v>
      </c>
      <c r="X188" s="15">
        <v>1</v>
      </c>
      <c r="Y188" s="16" t="s">
        <v>4</v>
      </c>
    </row>
    <row r="189" spans="1:25" x14ac:dyDescent="0.3">
      <c r="A189" s="17" t="s">
        <v>567</v>
      </c>
      <c r="B189" s="18" t="s">
        <v>388</v>
      </c>
      <c r="C189" s="18" t="s">
        <v>568</v>
      </c>
      <c r="D189" s="18" t="s">
        <v>568</v>
      </c>
      <c r="E189" s="18" t="str">
        <f t="shared" si="9"/>
        <v>Average</v>
      </c>
      <c r="F189" s="18">
        <v>53</v>
      </c>
      <c r="G189" s="30">
        <f t="shared" si="10"/>
        <v>33.131</v>
      </c>
      <c r="H189" s="18">
        <v>198786</v>
      </c>
      <c r="I189" s="18" t="str">
        <f t="shared" si="11"/>
        <v>Clean</v>
      </c>
      <c r="J189" s="18" t="b">
        <v>0</v>
      </c>
      <c r="K189" s="18" t="str">
        <f t="shared" si="12"/>
        <v>Moderate</v>
      </c>
      <c r="L189" s="18">
        <v>0.53400000000000003</v>
      </c>
      <c r="M189" s="18" t="str">
        <f t="shared" si="13"/>
        <v>Low Energy</v>
      </c>
      <c r="N189" s="18">
        <v>0.35899999999999999</v>
      </c>
      <c r="O189" s="18">
        <v>0</v>
      </c>
      <c r="P189" s="18">
        <v>-9.3109999999999999</v>
      </c>
      <c r="Q189" s="18">
        <v>1</v>
      </c>
      <c r="R189" s="18">
        <v>2.9600000000000001E-2</v>
      </c>
      <c r="S189" s="18">
        <v>0.44900000000000001</v>
      </c>
      <c r="T189" s="21" t="s">
        <v>569</v>
      </c>
      <c r="U189" s="18">
        <v>0.33100000000000002</v>
      </c>
      <c r="V189" s="18">
        <v>0.26700000000000002</v>
      </c>
      <c r="W189" s="18">
        <v>131.804</v>
      </c>
      <c r="X189" s="18">
        <v>4</v>
      </c>
      <c r="Y189" s="19" t="s">
        <v>4</v>
      </c>
    </row>
    <row r="190" spans="1:25" x14ac:dyDescent="0.3">
      <c r="A190" s="14" t="s">
        <v>570</v>
      </c>
      <c r="B190" s="15" t="s">
        <v>571</v>
      </c>
      <c r="C190" s="15" t="s">
        <v>572</v>
      </c>
      <c r="D190" s="15" t="s">
        <v>573</v>
      </c>
      <c r="E190" s="15" t="str">
        <f t="shared" si="9"/>
        <v>Average</v>
      </c>
      <c r="F190" s="15">
        <v>55</v>
      </c>
      <c r="G190" s="30">
        <f t="shared" si="10"/>
        <v>37.773333333333333</v>
      </c>
      <c r="H190" s="15">
        <v>226640</v>
      </c>
      <c r="I190" s="15" t="str">
        <f t="shared" si="11"/>
        <v>Clean</v>
      </c>
      <c r="J190" s="15" t="b">
        <v>0</v>
      </c>
      <c r="K190" s="15" t="str">
        <f t="shared" si="12"/>
        <v>Low</v>
      </c>
      <c r="L190" s="15">
        <v>0.378</v>
      </c>
      <c r="M190" s="15" t="str">
        <f t="shared" si="13"/>
        <v>Medium Energy</v>
      </c>
      <c r="N190" s="15">
        <v>0.52</v>
      </c>
      <c r="O190" s="15">
        <v>11</v>
      </c>
      <c r="P190" s="15">
        <v>-10.965</v>
      </c>
      <c r="Q190" s="15">
        <v>1</v>
      </c>
      <c r="R190" s="15">
        <v>3.8199999999999998E-2</v>
      </c>
      <c r="S190" s="15">
        <v>0.77700000000000002</v>
      </c>
      <c r="T190" s="15">
        <v>8.8800000000000004E-2</v>
      </c>
      <c r="U190" s="15">
        <v>9.7900000000000001E-2</v>
      </c>
      <c r="V190" s="15">
        <v>0.35699999999999998</v>
      </c>
      <c r="W190" s="15">
        <v>73.744</v>
      </c>
      <c r="X190" s="15">
        <v>4</v>
      </c>
      <c r="Y190" s="16" t="s">
        <v>4</v>
      </c>
    </row>
    <row r="191" spans="1:25" x14ac:dyDescent="0.3">
      <c r="A191" s="17" t="s">
        <v>574</v>
      </c>
      <c r="B191" s="18" t="s">
        <v>575</v>
      </c>
      <c r="C191" s="18" t="s">
        <v>576</v>
      </c>
      <c r="D191" s="18" t="s">
        <v>577</v>
      </c>
      <c r="E191" s="18" t="str">
        <f t="shared" si="9"/>
        <v>Popular</v>
      </c>
      <c r="F191" s="18">
        <v>66</v>
      </c>
      <c r="G191" s="30">
        <f t="shared" si="10"/>
        <v>33.978166666666667</v>
      </c>
      <c r="H191" s="18">
        <v>203869</v>
      </c>
      <c r="I191" s="18" t="str">
        <f t="shared" si="11"/>
        <v>Clean</v>
      </c>
      <c r="J191" s="18" t="b">
        <v>0</v>
      </c>
      <c r="K191" s="18" t="str">
        <f t="shared" si="12"/>
        <v>Moderate</v>
      </c>
      <c r="L191" s="18">
        <v>0.60599999999999998</v>
      </c>
      <c r="M191" s="18" t="str">
        <f t="shared" si="13"/>
        <v>Low Energy</v>
      </c>
      <c r="N191" s="18">
        <v>0.34899999999999998</v>
      </c>
      <c r="O191" s="18">
        <v>4</v>
      </c>
      <c r="P191" s="18">
        <v>-13.967000000000001</v>
      </c>
      <c r="Q191" s="18">
        <v>1</v>
      </c>
      <c r="R191" s="18">
        <v>3.1899999999999998E-2</v>
      </c>
      <c r="S191" s="18">
        <v>0.76400000000000001</v>
      </c>
      <c r="T191" s="18">
        <v>0.30599999999999999</v>
      </c>
      <c r="U191" s="18">
        <v>0.112</v>
      </c>
      <c r="V191" s="18">
        <v>0.156</v>
      </c>
      <c r="W191" s="18">
        <v>80.070999999999998</v>
      </c>
      <c r="X191" s="18">
        <v>4</v>
      </c>
      <c r="Y191" s="19" t="s">
        <v>4</v>
      </c>
    </row>
    <row r="192" spans="1:25" x14ac:dyDescent="0.3">
      <c r="A192" s="14" t="s">
        <v>578</v>
      </c>
      <c r="B192" s="15" t="s">
        <v>37</v>
      </c>
      <c r="C192" s="15" t="s">
        <v>579</v>
      </c>
      <c r="D192" s="15" t="s">
        <v>580</v>
      </c>
      <c r="E192" s="15" t="str">
        <f t="shared" si="9"/>
        <v>Average</v>
      </c>
      <c r="F192" s="15">
        <v>49</v>
      </c>
      <c r="G192" s="30">
        <f t="shared" si="10"/>
        <v>52.906833333333331</v>
      </c>
      <c r="H192" s="15">
        <v>317441</v>
      </c>
      <c r="I192" s="15" t="str">
        <f t="shared" si="11"/>
        <v>Clean</v>
      </c>
      <c r="J192" s="15" t="b">
        <v>0</v>
      </c>
      <c r="K192" s="15" t="str">
        <f t="shared" si="12"/>
        <v>Moderate</v>
      </c>
      <c r="L192" s="15">
        <v>0.48599999999999999</v>
      </c>
      <c r="M192" s="15" t="str">
        <f t="shared" si="13"/>
        <v>Medium Energy</v>
      </c>
      <c r="N192" s="15">
        <v>0.55500000000000005</v>
      </c>
      <c r="O192" s="15">
        <v>2</v>
      </c>
      <c r="P192" s="15">
        <v>-9.4659999999999993</v>
      </c>
      <c r="Q192" s="15">
        <v>1</v>
      </c>
      <c r="R192" s="15">
        <v>2.7099999999999999E-2</v>
      </c>
      <c r="S192" s="15">
        <v>0.81799999999999995</v>
      </c>
      <c r="T192" s="15">
        <v>2.6900000000000001E-3</v>
      </c>
      <c r="U192" s="15">
        <v>0.109</v>
      </c>
      <c r="V192" s="15">
        <v>9.9199999999999997E-2</v>
      </c>
      <c r="W192" s="15">
        <v>77.986999999999995</v>
      </c>
      <c r="X192" s="15">
        <v>4</v>
      </c>
      <c r="Y192" s="16" t="s">
        <v>4</v>
      </c>
    </row>
    <row r="193" spans="1:25" x14ac:dyDescent="0.3">
      <c r="A193" s="17" t="s">
        <v>581</v>
      </c>
      <c r="B193" s="18" t="s">
        <v>380</v>
      </c>
      <c r="C193" s="18" t="s">
        <v>582</v>
      </c>
      <c r="D193" s="18" t="s">
        <v>583</v>
      </c>
      <c r="E193" s="18" t="str">
        <f t="shared" si="9"/>
        <v>Popular</v>
      </c>
      <c r="F193" s="18">
        <v>60</v>
      </c>
      <c r="G193" s="30">
        <f t="shared" si="10"/>
        <v>43.606666666666669</v>
      </c>
      <c r="H193" s="18">
        <v>261640</v>
      </c>
      <c r="I193" s="18" t="str">
        <f t="shared" si="11"/>
        <v>Clean</v>
      </c>
      <c r="J193" s="18" t="b">
        <v>0</v>
      </c>
      <c r="K193" s="18" t="str">
        <f t="shared" si="12"/>
        <v>Moderate</v>
      </c>
      <c r="L193" s="18">
        <v>0.57699999999999996</v>
      </c>
      <c r="M193" s="18" t="str">
        <f t="shared" si="13"/>
        <v>Medium Energy</v>
      </c>
      <c r="N193" s="18">
        <v>0.44600000000000001</v>
      </c>
      <c r="O193" s="18">
        <v>6</v>
      </c>
      <c r="P193" s="18">
        <v>-11.343</v>
      </c>
      <c r="Q193" s="18">
        <v>1</v>
      </c>
      <c r="R193" s="18">
        <v>3.1300000000000001E-2</v>
      </c>
      <c r="S193" s="18">
        <v>0.55400000000000005</v>
      </c>
      <c r="T193" s="18">
        <v>7.8200000000000006E-2</v>
      </c>
      <c r="U193" s="18">
        <v>0.11600000000000001</v>
      </c>
      <c r="V193" s="18">
        <v>0.26200000000000001</v>
      </c>
      <c r="W193" s="18">
        <v>81.004999999999995</v>
      </c>
      <c r="X193" s="18">
        <v>4</v>
      </c>
      <c r="Y193" s="19" t="s">
        <v>4</v>
      </c>
    </row>
    <row r="194" spans="1:25" x14ac:dyDescent="0.3">
      <c r="A194" s="14" t="s">
        <v>584</v>
      </c>
      <c r="B194" s="15" t="s">
        <v>585</v>
      </c>
      <c r="C194" s="15" t="s">
        <v>586</v>
      </c>
      <c r="D194" s="15" t="s">
        <v>586</v>
      </c>
      <c r="E194" s="15" t="str">
        <f t="shared" ref="E194:E257" si="14">IF( F194&gt;=80,"Hit",
IF(F194&gt;=60,"Popular",
IF( F194&gt;=40,"Average","Low")))</f>
        <v>Low</v>
      </c>
      <c r="F194" s="15">
        <v>38</v>
      </c>
      <c r="G194" s="30">
        <f t="shared" ref="G194:G257" si="15">H194/6000</f>
        <v>35.322166666666668</v>
      </c>
      <c r="H194" s="15">
        <v>211933</v>
      </c>
      <c r="I194" s="15" t="str">
        <f t="shared" ref="I194:I257" si="16">IF(E194=TRUE,"Explicit","Clean")</f>
        <v>Clean</v>
      </c>
      <c r="J194" s="15" t="b">
        <v>0</v>
      </c>
      <c r="K194" s="15" t="str">
        <f t="shared" ref="K194:K257" si="17">IF(L194&gt;=0.7,"Very Danceable",
IF( L194&gt;=0.4,"Moderate","Low"))</f>
        <v>Moderate</v>
      </c>
      <c r="L194" s="15">
        <v>0.59</v>
      </c>
      <c r="M194" s="15" t="str">
        <f t="shared" ref="M194:M257" si="18">IF( N194&gt;=0.7,"High Energy",
IF( N194&gt;=0.4,"Medium Energy","Low Energy"))</f>
        <v>Medium Energy</v>
      </c>
      <c r="N194" s="15">
        <v>0.40699999999999997</v>
      </c>
      <c r="O194" s="15">
        <v>4</v>
      </c>
      <c r="P194" s="15">
        <v>-9.0790000000000006</v>
      </c>
      <c r="Q194" s="15">
        <v>1</v>
      </c>
      <c r="R194" s="15">
        <v>3.61E-2</v>
      </c>
      <c r="S194" s="15">
        <v>0.86099999999999999</v>
      </c>
      <c r="T194" s="20" t="s">
        <v>587</v>
      </c>
      <c r="U194" s="15">
        <v>9.4E-2</v>
      </c>
      <c r="V194" s="15">
        <v>0.27600000000000002</v>
      </c>
      <c r="W194" s="15">
        <v>145.852</v>
      </c>
      <c r="X194" s="15">
        <v>4</v>
      </c>
      <c r="Y194" s="16" t="s">
        <v>4</v>
      </c>
    </row>
    <row r="195" spans="1:25" x14ac:dyDescent="0.3">
      <c r="A195" s="17" t="s">
        <v>588</v>
      </c>
      <c r="B195" s="18" t="s">
        <v>589</v>
      </c>
      <c r="C195" s="18" t="s">
        <v>590</v>
      </c>
      <c r="D195" s="18" t="s">
        <v>591</v>
      </c>
      <c r="E195" s="18" t="str">
        <f t="shared" si="14"/>
        <v>Popular</v>
      </c>
      <c r="F195" s="18">
        <v>67</v>
      </c>
      <c r="G195" s="30">
        <f t="shared" si="15"/>
        <v>36.466666666666669</v>
      </c>
      <c r="H195" s="18">
        <v>218800</v>
      </c>
      <c r="I195" s="18" t="str">
        <f t="shared" si="16"/>
        <v>Clean</v>
      </c>
      <c r="J195" s="18" t="b">
        <v>0</v>
      </c>
      <c r="K195" s="18" t="str">
        <f t="shared" si="17"/>
        <v>Moderate</v>
      </c>
      <c r="L195" s="18">
        <v>0.53800000000000003</v>
      </c>
      <c r="M195" s="18" t="str">
        <f t="shared" si="18"/>
        <v>Low Energy</v>
      </c>
      <c r="N195" s="18">
        <v>0.315</v>
      </c>
      <c r="O195" s="18">
        <v>0</v>
      </c>
      <c r="P195" s="18">
        <v>-10.057</v>
      </c>
      <c r="Q195" s="18">
        <v>1</v>
      </c>
      <c r="R195" s="18">
        <v>2.9100000000000001E-2</v>
      </c>
      <c r="S195" s="18">
        <v>0.96</v>
      </c>
      <c r="T195" s="18">
        <v>5.96E-3</v>
      </c>
      <c r="U195" s="18">
        <v>9.7900000000000001E-2</v>
      </c>
      <c r="V195" s="18">
        <v>0.4</v>
      </c>
      <c r="W195" s="18">
        <v>91.921000000000006</v>
      </c>
      <c r="X195" s="18">
        <v>3</v>
      </c>
      <c r="Y195" s="19" t="s">
        <v>4</v>
      </c>
    </row>
    <row r="196" spans="1:25" x14ac:dyDescent="0.3">
      <c r="A196" s="14" t="s">
        <v>592</v>
      </c>
      <c r="B196" s="15" t="s">
        <v>243</v>
      </c>
      <c r="C196" s="15" t="s">
        <v>80</v>
      </c>
      <c r="D196" s="15" t="s">
        <v>27</v>
      </c>
      <c r="E196" s="15" t="str">
        <f t="shared" si="14"/>
        <v>Average</v>
      </c>
      <c r="F196" s="15">
        <v>57</v>
      </c>
      <c r="G196" s="30">
        <f t="shared" si="15"/>
        <v>38.87766666666667</v>
      </c>
      <c r="H196" s="15">
        <v>233266</v>
      </c>
      <c r="I196" s="15" t="str">
        <f t="shared" si="16"/>
        <v>Clean</v>
      </c>
      <c r="J196" s="15" t="b">
        <v>0</v>
      </c>
      <c r="K196" s="15" t="str">
        <f t="shared" si="17"/>
        <v>Moderate</v>
      </c>
      <c r="L196" s="15">
        <v>0.44700000000000001</v>
      </c>
      <c r="M196" s="15" t="str">
        <f t="shared" si="18"/>
        <v>Low Energy</v>
      </c>
      <c r="N196" s="15">
        <v>0.158</v>
      </c>
      <c r="O196" s="15">
        <v>2</v>
      </c>
      <c r="P196" s="15">
        <v>-7.5709999999999997</v>
      </c>
      <c r="Q196" s="15">
        <v>1</v>
      </c>
      <c r="R196" s="15">
        <v>3.5999999999999997E-2</v>
      </c>
      <c r="S196" s="15">
        <v>0.872</v>
      </c>
      <c r="T196" s="20" t="s">
        <v>593</v>
      </c>
      <c r="U196" s="15">
        <v>8.1600000000000006E-2</v>
      </c>
      <c r="V196" s="15">
        <v>0.14199999999999999</v>
      </c>
      <c r="W196" s="15">
        <v>140.94200000000001</v>
      </c>
      <c r="X196" s="15">
        <v>3</v>
      </c>
      <c r="Y196" s="16" t="s">
        <v>4</v>
      </c>
    </row>
    <row r="197" spans="1:25" x14ac:dyDescent="0.3">
      <c r="A197" s="17" t="s">
        <v>594</v>
      </c>
      <c r="B197" s="18" t="s">
        <v>129</v>
      </c>
      <c r="C197" s="18" t="s">
        <v>265</v>
      </c>
      <c r="D197" s="18" t="s">
        <v>595</v>
      </c>
      <c r="E197" s="18" t="str">
        <f t="shared" si="14"/>
        <v>Popular</v>
      </c>
      <c r="F197" s="18">
        <v>60</v>
      </c>
      <c r="G197" s="30">
        <f t="shared" si="15"/>
        <v>26.075500000000002</v>
      </c>
      <c r="H197" s="18">
        <v>156453</v>
      </c>
      <c r="I197" s="18" t="str">
        <f t="shared" si="16"/>
        <v>Clean</v>
      </c>
      <c r="J197" s="18" t="b">
        <v>0</v>
      </c>
      <c r="K197" s="18" t="str">
        <f t="shared" si="17"/>
        <v>Moderate</v>
      </c>
      <c r="L197" s="18">
        <v>0.40100000000000002</v>
      </c>
      <c r="M197" s="18" t="str">
        <f t="shared" si="18"/>
        <v>Medium Energy</v>
      </c>
      <c r="N197" s="18">
        <v>0.57999999999999996</v>
      </c>
      <c r="O197" s="18">
        <v>7</v>
      </c>
      <c r="P197" s="18">
        <v>-6.86</v>
      </c>
      <c r="Q197" s="18">
        <v>1</v>
      </c>
      <c r="R197" s="18">
        <v>5.4100000000000002E-2</v>
      </c>
      <c r="S197" s="18">
        <v>0.90600000000000003</v>
      </c>
      <c r="T197" s="18">
        <v>0.217</v>
      </c>
      <c r="U197" s="18">
        <v>0.13400000000000001</v>
      </c>
      <c r="V197" s="18">
        <v>0.52600000000000002</v>
      </c>
      <c r="W197" s="18">
        <v>173.27699999999999</v>
      </c>
      <c r="X197" s="18">
        <v>3</v>
      </c>
      <c r="Y197" s="19" t="s">
        <v>4</v>
      </c>
    </row>
    <row r="198" spans="1:25" x14ac:dyDescent="0.3">
      <c r="A198" s="14" t="s">
        <v>596</v>
      </c>
      <c r="B198" s="15" t="s">
        <v>597</v>
      </c>
      <c r="C198" s="15" t="s">
        <v>598</v>
      </c>
      <c r="D198" s="15" t="s">
        <v>599</v>
      </c>
      <c r="E198" s="15" t="str">
        <f t="shared" si="14"/>
        <v>Popular</v>
      </c>
      <c r="F198" s="15">
        <v>64</v>
      </c>
      <c r="G198" s="30">
        <f t="shared" si="15"/>
        <v>27.522166666666667</v>
      </c>
      <c r="H198" s="15">
        <v>165133</v>
      </c>
      <c r="I198" s="15" t="str">
        <f t="shared" si="16"/>
        <v>Clean</v>
      </c>
      <c r="J198" s="15" t="b">
        <v>0</v>
      </c>
      <c r="K198" s="15" t="str">
        <f t="shared" si="17"/>
        <v>Moderate</v>
      </c>
      <c r="L198" s="15">
        <v>0.502</v>
      </c>
      <c r="M198" s="15" t="str">
        <f t="shared" si="18"/>
        <v>Low Energy</v>
      </c>
      <c r="N198" s="15">
        <v>0.311</v>
      </c>
      <c r="O198" s="15">
        <v>1</v>
      </c>
      <c r="P198" s="15">
        <v>-13.420999999999999</v>
      </c>
      <c r="Q198" s="15">
        <v>1</v>
      </c>
      <c r="R198" s="15">
        <v>2.8500000000000001E-2</v>
      </c>
      <c r="S198" s="15">
        <v>0.61699999999999999</v>
      </c>
      <c r="T198" s="20" t="s">
        <v>600</v>
      </c>
      <c r="U198" s="15">
        <v>0.129</v>
      </c>
      <c r="V198" s="15">
        <v>0.4</v>
      </c>
      <c r="W198" s="15">
        <v>107.61199999999999</v>
      </c>
      <c r="X198" s="15">
        <v>4</v>
      </c>
      <c r="Y198" s="16" t="s">
        <v>4</v>
      </c>
    </row>
    <row r="199" spans="1:25" x14ac:dyDescent="0.3">
      <c r="A199" s="17" t="s">
        <v>601</v>
      </c>
      <c r="B199" s="18" t="s">
        <v>602</v>
      </c>
      <c r="C199" s="18" t="s">
        <v>603</v>
      </c>
      <c r="D199" s="18" t="s">
        <v>604</v>
      </c>
      <c r="E199" s="18" t="str">
        <f t="shared" si="14"/>
        <v>Low</v>
      </c>
      <c r="F199" s="18">
        <v>0</v>
      </c>
      <c r="G199" s="30">
        <f t="shared" si="15"/>
        <v>36.104333333333336</v>
      </c>
      <c r="H199" s="18">
        <v>216626</v>
      </c>
      <c r="I199" s="18" t="str">
        <f t="shared" si="16"/>
        <v>Clean</v>
      </c>
      <c r="J199" s="18" t="b">
        <v>0</v>
      </c>
      <c r="K199" s="18" t="str">
        <f t="shared" si="17"/>
        <v>Moderate</v>
      </c>
      <c r="L199" s="18">
        <v>0.67800000000000005</v>
      </c>
      <c r="M199" s="18" t="str">
        <f t="shared" si="18"/>
        <v>Medium Energy</v>
      </c>
      <c r="N199" s="18">
        <v>0.61199999999999999</v>
      </c>
      <c r="O199" s="18">
        <v>4</v>
      </c>
      <c r="P199" s="18">
        <v>-9.7639999999999993</v>
      </c>
      <c r="Q199" s="18">
        <v>1</v>
      </c>
      <c r="R199" s="18">
        <v>3.39E-2</v>
      </c>
      <c r="S199" s="18">
        <v>0.1</v>
      </c>
      <c r="T199" s="18">
        <v>0.316</v>
      </c>
      <c r="U199" s="18">
        <v>0.16400000000000001</v>
      </c>
      <c r="V199" s="18">
        <v>0.85699999999999998</v>
      </c>
      <c r="W199" s="18">
        <v>118.381</v>
      </c>
      <c r="X199" s="18">
        <v>4</v>
      </c>
      <c r="Y199" s="19" t="s">
        <v>4</v>
      </c>
    </row>
    <row r="200" spans="1:25" x14ac:dyDescent="0.3">
      <c r="A200" s="14" t="s">
        <v>605</v>
      </c>
      <c r="B200" s="15" t="s">
        <v>606</v>
      </c>
      <c r="C200" s="15" t="s">
        <v>607</v>
      </c>
      <c r="D200" s="15" t="s">
        <v>608</v>
      </c>
      <c r="E200" s="15" t="str">
        <f t="shared" si="14"/>
        <v>Low</v>
      </c>
      <c r="F200" s="15">
        <v>0</v>
      </c>
      <c r="G200" s="30">
        <f t="shared" si="15"/>
        <v>41.904333333333334</v>
      </c>
      <c r="H200" s="15">
        <v>251426</v>
      </c>
      <c r="I200" s="15" t="str">
        <f t="shared" si="16"/>
        <v>Clean</v>
      </c>
      <c r="J200" s="15" t="b">
        <v>0</v>
      </c>
      <c r="K200" s="15" t="str">
        <f t="shared" si="17"/>
        <v>Moderate</v>
      </c>
      <c r="L200" s="15">
        <v>0.65</v>
      </c>
      <c r="M200" s="15" t="str">
        <f t="shared" si="18"/>
        <v>Medium Energy</v>
      </c>
      <c r="N200" s="15">
        <v>0.40600000000000003</v>
      </c>
      <c r="O200" s="15">
        <v>7</v>
      </c>
      <c r="P200" s="15">
        <v>-13.492000000000001</v>
      </c>
      <c r="Q200" s="15">
        <v>1</v>
      </c>
      <c r="R200" s="15">
        <v>7.6100000000000001E-2</v>
      </c>
      <c r="S200" s="15">
        <v>0.56799999999999995</v>
      </c>
      <c r="T200" s="15">
        <v>0</v>
      </c>
      <c r="U200" s="15">
        <v>0.48399999999999999</v>
      </c>
      <c r="V200" s="15">
        <v>0.86199999999999999</v>
      </c>
      <c r="W200" s="15">
        <v>79.641999999999996</v>
      </c>
      <c r="X200" s="15">
        <v>4</v>
      </c>
      <c r="Y200" s="16" t="s">
        <v>4</v>
      </c>
    </row>
    <row r="201" spans="1:25" x14ac:dyDescent="0.3">
      <c r="A201" s="17" t="s">
        <v>609</v>
      </c>
      <c r="B201" s="18" t="s">
        <v>610</v>
      </c>
      <c r="C201" s="18" t="s">
        <v>611</v>
      </c>
      <c r="D201" s="18" t="s">
        <v>612</v>
      </c>
      <c r="E201" s="18" t="str">
        <f t="shared" si="14"/>
        <v>Low</v>
      </c>
      <c r="F201" s="18">
        <v>0</v>
      </c>
      <c r="G201" s="30">
        <f t="shared" si="15"/>
        <v>34.88216666666667</v>
      </c>
      <c r="H201" s="18">
        <v>209293</v>
      </c>
      <c r="I201" s="18" t="str">
        <f t="shared" si="16"/>
        <v>Clean</v>
      </c>
      <c r="J201" s="18" t="b">
        <v>0</v>
      </c>
      <c r="K201" s="18" t="str">
        <f t="shared" si="17"/>
        <v>Moderate</v>
      </c>
      <c r="L201" s="18">
        <v>0.64900000000000002</v>
      </c>
      <c r="M201" s="18" t="str">
        <f t="shared" si="18"/>
        <v>Low Energy</v>
      </c>
      <c r="N201" s="18">
        <v>0.39900000000000002</v>
      </c>
      <c r="O201" s="18">
        <v>6</v>
      </c>
      <c r="P201" s="18">
        <v>-7.8940000000000001</v>
      </c>
      <c r="Q201" s="18">
        <v>1</v>
      </c>
      <c r="R201" s="18">
        <v>2.5600000000000001E-2</v>
      </c>
      <c r="S201" s="18">
        <v>0.184</v>
      </c>
      <c r="T201" s="18">
        <v>1.08E-4</v>
      </c>
      <c r="U201" s="18">
        <v>0.113</v>
      </c>
      <c r="V201" s="18">
        <v>0.34200000000000003</v>
      </c>
      <c r="W201" s="18">
        <v>97.498000000000005</v>
      </c>
      <c r="X201" s="18">
        <v>3</v>
      </c>
      <c r="Y201" s="19" t="s">
        <v>4</v>
      </c>
    </row>
    <row r="202" spans="1:25" x14ac:dyDescent="0.3">
      <c r="A202" s="14" t="s">
        <v>613</v>
      </c>
      <c r="B202" s="15" t="s">
        <v>160</v>
      </c>
      <c r="C202" s="15" t="s">
        <v>614</v>
      </c>
      <c r="D202" s="15" t="s">
        <v>615</v>
      </c>
      <c r="E202" s="15" t="str">
        <f t="shared" si="14"/>
        <v>Popular</v>
      </c>
      <c r="F202" s="15">
        <v>61</v>
      </c>
      <c r="G202" s="30">
        <f t="shared" si="15"/>
        <v>51.357666666666667</v>
      </c>
      <c r="H202" s="15">
        <v>308146</v>
      </c>
      <c r="I202" s="15" t="str">
        <f t="shared" si="16"/>
        <v>Clean</v>
      </c>
      <c r="J202" s="15" t="b">
        <v>0</v>
      </c>
      <c r="K202" s="15" t="str">
        <f t="shared" si="17"/>
        <v>Moderate</v>
      </c>
      <c r="L202" s="15">
        <v>0.52300000000000002</v>
      </c>
      <c r="M202" s="15" t="str">
        <f t="shared" si="18"/>
        <v>Medium Energy</v>
      </c>
      <c r="N202" s="15">
        <v>0.44500000000000001</v>
      </c>
      <c r="O202" s="15">
        <v>10</v>
      </c>
      <c r="P202" s="15">
        <v>-6.359</v>
      </c>
      <c r="Q202" s="15">
        <v>1</v>
      </c>
      <c r="R202" s="15">
        <v>3.2899999999999999E-2</v>
      </c>
      <c r="S202" s="15">
        <v>0.188</v>
      </c>
      <c r="T202" s="15">
        <v>0</v>
      </c>
      <c r="U202" s="15">
        <v>0.18</v>
      </c>
      <c r="V202" s="15">
        <v>0.33600000000000002</v>
      </c>
      <c r="W202" s="15">
        <v>78.956999999999994</v>
      </c>
      <c r="X202" s="15">
        <v>4</v>
      </c>
      <c r="Y202" s="16" t="s">
        <v>4</v>
      </c>
    </row>
    <row r="203" spans="1:25" x14ac:dyDescent="0.3">
      <c r="A203" s="17" t="s">
        <v>616</v>
      </c>
      <c r="B203" s="18" t="s">
        <v>617</v>
      </c>
      <c r="C203" s="18" t="s">
        <v>618</v>
      </c>
      <c r="D203" s="18" t="s">
        <v>619</v>
      </c>
      <c r="E203" s="18" t="str">
        <f t="shared" si="14"/>
        <v>Average</v>
      </c>
      <c r="F203" s="18">
        <v>50</v>
      </c>
      <c r="G203" s="30">
        <f t="shared" si="15"/>
        <v>36.861666666666665</v>
      </c>
      <c r="H203" s="18">
        <v>221170</v>
      </c>
      <c r="I203" s="18" t="str">
        <f t="shared" si="16"/>
        <v>Clean</v>
      </c>
      <c r="J203" s="18" t="b">
        <v>0</v>
      </c>
      <c r="K203" s="18" t="str">
        <f t="shared" si="17"/>
        <v>Moderate</v>
      </c>
      <c r="L203" s="18">
        <v>0.53800000000000003</v>
      </c>
      <c r="M203" s="18" t="str">
        <f t="shared" si="18"/>
        <v>Low Energy</v>
      </c>
      <c r="N203" s="18">
        <v>0.16200000000000001</v>
      </c>
      <c r="O203" s="18">
        <v>5</v>
      </c>
      <c r="P203" s="18">
        <v>-13.31</v>
      </c>
      <c r="Q203" s="18">
        <v>1</v>
      </c>
      <c r="R203" s="18">
        <v>2.9899999999999999E-2</v>
      </c>
      <c r="S203" s="18">
        <v>0.84699999999999998</v>
      </c>
      <c r="T203" s="18">
        <v>0</v>
      </c>
      <c r="U203" s="18">
        <v>0.114</v>
      </c>
      <c r="V203" s="18">
        <v>0.36599999999999999</v>
      </c>
      <c r="W203" s="18">
        <v>94.980999999999995</v>
      </c>
      <c r="X203" s="18">
        <v>4</v>
      </c>
      <c r="Y203" s="19" t="s">
        <v>4</v>
      </c>
    </row>
    <row r="204" spans="1:25" x14ac:dyDescent="0.3">
      <c r="A204" s="14" t="s">
        <v>620</v>
      </c>
      <c r="B204" s="15" t="s">
        <v>621</v>
      </c>
      <c r="C204" s="15" t="s">
        <v>622</v>
      </c>
      <c r="D204" s="15" t="s">
        <v>622</v>
      </c>
      <c r="E204" s="15" t="str">
        <f t="shared" si="14"/>
        <v>Average</v>
      </c>
      <c r="F204" s="15">
        <v>47</v>
      </c>
      <c r="G204" s="30">
        <f t="shared" si="15"/>
        <v>55.131</v>
      </c>
      <c r="H204" s="15">
        <v>330786</v>
      </c>
      <c r="I204" s="15" t="str">
        <f t="shared" si="16"/>
        <v>Clean</v>
      </c>
      <c r="J204" s="15" t="b">
        <v>0</v>
      </c>
      <c r="K204" s="15" t="str">
        <f t="shared" si="17"/>
        <v>Moderate</v>
      </c>
      <c r="L204" s="15">
        <v>0.51900000000000002</v>
      </c>
      <c r="M204" s="15" t="str">
        <f t="shared" si="18"/>
        <v>Medium Energy</v>
      </c>
      <c r="N204" s="15">
        <v>0.42899999999999999</v>
      </c>
      <c r="O204" s="15">
        <v>11</v>
      </c>
      <c r="P204" s="15">
        <v>-7.7069999999999999</v>
      </c>
      <c r="Q204" s="15">
        <v>0</v>
      </c>
      <c r="R204" s="15">
        <v>3.1699999999999999E-2</v>
      </c>
      <c r="S204" s="15">
        <v>0.65800000000000003</v>
      </c>
      <c r="T204" s="15">
        <v>0</v>
      </c>
      <c r="U204" s="15">
        <v>0.111</v>
      </c>
      <c r="V204" s="15">
        <v>0.39600000000000002</v>
      </c>
      <c r="W204" s="15">
        <v>129.49100000000001</v>
      </c>
      <c r="X204" s="15">
        <v>4</v>
      </c>
      <c r="Y204" s="16" t="s">
        <v>4</v>
      </c>
    </row>
    <row r="205" spans="1:25" x14ac:dyDescent="0.3">
      <c r="A205" s="17" t="s">
        <v>623</v>
      </c>
      <c r="B205" s="18" t="s">
        <v>14</v>
      </c>
      <c r="C205" s="18" t="s">
        <v>624</v>
      </c>
      <c r="D205" s="18" t="s">
        <v>624</v>
      </c>
      <c r="E205" s="18" t="str">
        <f t="shared" si="14"/>
        <v>Average</v>
      </c>
      <c r="F205" s="18">
        <v>58</v>
      </c>
      <c r="G205" s="30">
        <f t="shared" si="15"/>
        <v>39.022500000000001</v>
      </c>
      <c r="H205" s="18">
        <v>234135</v>
      </c>
      <c r="I205" s="18" t="str">
        <f t="shared" si="16"/>
        <v>Clean</v>
      </c>
      <c r="J205" s="18" t="b">
        <v>0</v>
      </c>
      <c r="K205" s="18" t="str">
        <f t="shared" si="17"/>
        <v>Moderate</v>
      </c>
      <c r="L205" s="18">
        <v>0.58499999999999996</v>
      </c>
      <c r="M205" s="18" t="str">
        <f t="shared" si="18"/>
        <v>Low Energy</v>
      </c>
      <c r="N205" s="18">
        <v>0.10299999999999999</v>
      </c>
      <c r="O205" s="18">
        <v>7</v>
      </c>
      <c r="P205" s="18">
        <v>-12.682</v>
      </c>
      <c r="Q205" s="18">
        <v>1</v>
      </c>
      <c r="R205" s="18">
        <v>3.09E-2</v>
      </c>
      <c r="S205" s="18">
        <v>0.80100000000000005</v>
      </c>
      <c r="T205" s="18">
        <v>0</v>
      </c>
      <c r="U205" s="18">
        <v>0.126</v>
      </c>
      <c r="V205" s="18">
        <v>0.17899999999999999</v>
      </c>
      <c r="W205" s="18">
        <v>133.05699999999999</v>
      </c>
      <c r="X205" s="18">
        <v>4</v>
      </c>
      <c r="Y205" s="19" t="s">
        <v>4</v>
      </c>
    </row>
    <row r="206" spans="1:25" x14ac:dyDescent="0.3">
      <c r="A206" s="14" t="s">
        <v>625</v>
      </c>
      <c r="B206" s="15" t="s">
        <v>626</v>
      </c>
      <c r="C206" s="15" t="s">
        <v>627</v>
      </c>
      <c r="D206" s="15" t="s">
        <v>627</v>
      </c>
      <c r="E206" s="15" t="str">
        <f t="shared" si="14"/>
        <v>Low</v>
      </c>
      <c r="F206" s="15">
        <v>30</v>
      </c>
      <c r="G206" s="30">
        <f t="shared" si="15"/>
        <v>28.875</v>
      </c>
      <c r="H206" s="15">
        <v>173250</v>
      </c>
      <c r="I206" s="15" t="str">
        <f t="shared" si="16"/>
        <v>Clean</v>
      </c>
      <c r="J206" s="15" t="b">
        <v>0</v>
      </c>
      <c r="K206" s="15" t="str">
        <f t="shared" si="17"/>
        <v>Moderate</v>
      </c>
      <c r="L206" s="15">
        <v>0.57799999999999996</v>
      </c>
      <c r="M206" s="15" t="str">
        <f t="shared" si="18"/>
        <v>High Energy</v>
      </c>
      <c r="N206" s="15">
        <v>0.76300000000000001</v>
      </c>
      <c r="O206" s="15">
        <v>2</v>
      </c>
      <c r="P206" s="15">
        <v>-4.8239999999999998</v>
      </c>
      <c r="Q206" s="15">
        <v>1</v>
      </c>
      <c r="R206" s="15">
        <v>9.98E-2</v>
      </c>
      <c r="S206" s="15">
        <v>9.1600000000000001E-2</v>
      </c>
      <c r="T206" s="20" t="s">
        <v>628</v>
      </c>
      <c r="U206" s="15">
        <v>7.4300000000000005E-2</v>
      </c>
      <c r="V206" s="15">
        <v>0.39400000000000002</v>
      </c>
      <c r="W206" s="15">
        <v>96.808000000000007</v>
      </c>
      <c r="X206" s="15">
        <v>4</v>
      </c>
      <c r="Y206" s="16" t="s">
        <v>4</v>
      </c>
    </row>
    <row r="207" spans="1:25" x14ac:dyDescent="0.3">
      <c r="A207" s="17" t="s">
        <v>629</v>
      </c>
      <c r="B207" s="18" t="s">
        <v>630</v>
      </c>
      <c r="C207" s="18" t="s">
        <v>631</v>
      </c>
      <c r="D207" s="18" t="s">
        <v>632</v>
      </c>
      <c r="E207" s="18" t="str">
        <f t="shared" si="14"/>
        <v>Average</v>
      </c>
      <c r="F207" s="18">
        <v>52</v>
      </c>
      <c r="G207" s="30">
        <f t="shared" si="15"/>
        <v>56.103166666666667</v>
      </c>
      <c r="H207" s="18">
        <v>336619</v>
      </c>
      <c r="I207" s="18" t="str">
        <f t="shared" si="16"/>
        <v>Clean</v>
      </c>
      <c r="J207" s="18" t="b">
        <v>0</v>
      </c>
      <c r="K207" s="18" t="str">
        <f t="shared" si="17"/>
        <v>Low</v>
      </c>
      <c r="L207" s="18">
        <v>0.223</v>
      </c>
      <c r="M207" s="18" t="str">
        <f t="shared" si="18"/>
        <v>High Energy</v>
      </c>
      <c r="N207" s="18">
        <v>0.89100000000000001</v>
      </c>
      <c r="O207" s="18">
        <v>1</v>
      </c>
      <c r="P207" s="18">
        <v>-3.6259999999999999</v>
      </c>
      <c r="Q207" s="18">
        <v>0</v>
      </c>
      <c r="R207" s="18">
        <v>0.13800000000000001</v>
      </c>
      <c r="S207" s="18">
        <v>0.32500000000000001</v>
      </c>
      <c r="T207" s="18">
        <v>0</v>
      </c>
      <c r="U207" s="18">
        <v>0.28699999999999998</v>
      </c>
      <c r="V207" s="18">
        <v>0.33300000000000002</v>
      </c>
      <c r="W207" s="18">
        <v>159.88800000000001</v>
      </c>
      <c r="X207" s="18">
        <v>4</v>
      </c>
      <c r="Y207" s="19" t="s">
        <v>4</v>
      </c>
    </row>
    <row r="208" spans="1:25" x14ac:dyDescent="0.3">
      <c r="A208" s="14" t="s">
        <v>633</v>
      </c>
      <c r="B208" s="15" t="s">
        <v>205</v>
      </c>
      <c r="C208" s="15" t="s">
        <v>634</v>
      </c>
      <c r="D208" s="15" t="s">
        <v>634</v>
      </c>
      <c r="E208" s="15" t="str">
        <f t="shared" si="14"/>
        <v>Average</v>
      </c>
      <c r="F208" s="15">
        <v>55</v>
      </c>
      <c r="G208" s="30">
        <f t="shared" si="15"/>
        <v>24.138333333333332</v>
      </c>
      <c r="H208" s="15">
        <v>144830</v>
      </c>
      <c r="I208" s="15" t="str">
        <f t="shared" si="16"/>
        <v>Clean</v>
      </c>
      <c r="J208" s="15" t="b">
        <v>0</v>
      </c>
      <c r="K208" s="15" t="str">
        <f t="shared" si="17"/>
        <v>Low</v>
      </c>
      <c r="L208" s="15">
        <v>0.38200000000000001</v>
      </c>
      <c r="M208" s="15" t="str">
        <f t="shared" si="18"/>
        <v>Low Energy</v>
      </c>
      <c r="N208" s="15">
        <v>0.157</v>
      </c>
      <c r="O208" s="15">
        <v>1</v>
      </c>
      <c r="P208" s="15">
        <v>-16.157</v>
      </c>
      <c r="Q208" s="15">
        <v>1</v>
      </c>
      <c r="R208" s="15">
        <v>3.61E-2</v>
      </c>
      <c r="S208" s="15">
        <v>0.878</v>
      </c>
      <c r="T208" s="15">
        <v>4.73E-4</v>
      </c>
      <c r="U208" s="15">
        <v>0.112</v>
      </c>
      <c r="V208" s="15">
        <v>0.224</v>
      </c>
      <c r="W208" s="15">
        <v>136.11000000000001</v>
      </c>
      <c r="X208" s="15">
        <v>4</v>
      </c>
      <c r="Y208" s="16" t="s">
        <v>4</v>
      </c>
    </row>
    <row r="209" spans="1:25" x14ac:dyDescent="0.3">
      <c r="A209" s="17" t="s">
        <v>635</v>
      </c>
      <c r="B209" s="18" t="s">
        <v>40</v>
      </c>
      <c r="C209" s="18" t="s">
        <v>636</v>
      </c>
      <c r="D209" s="18" t="s">
        <v>636</v>
      </c>
      <c r="E209" s="18" t="str">
        <f t="shared" si="14"/>
        <v>Popular</v>
      </c>
      <c r="F209" s="18">
        <v>67</v>
      </c>
      <c r="G209" s="30">
        <f t="shared" si="15"/>
        <v>36.923000000000002</v>
      </c>
      <c r="H209" s="18">
        <v>221538</v>
      </c>
      <c r="I209" s="18" t="str">
        <f t="shared" si="16"/>
        <v>Clean</v>
      </c>
      <c r="J209" s="18" t="b">
        <v>0</v>
      </c>
      <c r="K209" s="18" t="str">
        <f t="shared" si="17"/>
        <v>Moderate</v>
      </c>
      <c r="L209" s="18">
        <v>0.64200000000000002</v>
      </c>
      <c r="M209" s="18" t="str">
        <f t="shared" si="18"/>
        <v>Low Energy</v>
      </c>
      <c r="N209" s="18">
        <v>0.374</v>
      </c>
      <c r="O209" s="18">
        <v>5</v>
      </c>
      <c r="P209" s="18">
        <v>-10.606</v>
      </c>
      <c r="Q209" s="18">
        <v>1</v>
      </c>
      <c r="R209" s="18">
        <v>3.2000000000000001E-2</v>
      </c>
      <c r="S209" s="18">
        <v>0.42299999999999999</v>
      </c>
      <c r="T209" s="21" t="s">
        <v>637</v>
      </c>
      <c r="U209" s="18">
        <v>0.435</v>
      </c>
      <c r="V209" s="18">
        <v>9.7900000000000001E-2</v>
      </c>
      <c r="W209" s="18">
        <v>129.863</v>
      </c>
      <c r="X209" s="18">
        <v>4</v>
      </c>
      <c r="Y209" s="19" t="s">
        <v>4</v>
      </c>
    </row>
    <row r="210" spans="1:25" x14ac:dyDescent="0.3">
      <c r="A210" s="14" t="s">
        <v>638</v>
      </c>
      <c r="B210" s="15" t="s">
        <v>179</v>
      </c>
      <c r="C210" s="15" t="s">
        <v>639</v>
      </c>
      <c r="D210" s="15" t="s">
        <v>639</v>
      </c>
      <c r="E210" s="15" t="str">
        <f t="shared" si="14"/>
        <v>Average</v>
      </c>
      <c r="F210" s="15">
        <v>45</v>
      </c>
      <c r="G210" s="30">
        <f t="shared" si="15"/>
        <v>32.161999999999999</v>
      </c>
      <c r="H210" s="15">
        <v>192972</v>
      </c>
      <c r="I210" s="15" t="str">
        <f t="shared" si="16"/>
        <v>Clean</v>
      </c>
      <c r="J210" s="15" t="b">
        <v>0</v>
      </c>
      <c r="K210" s="15" t="str">
        <f t="shared" si="17"/>
        <v>Moderate</v>
      </c>
      <c r="L210" s="15">
        <v>0.436</v>
      </c>
      <c r="M210" s="15" t="str">
        <f t="shared" si="18"/>
        <v>Low Energy</v>
      </c>
      <c r="N210" s="15">
        <v>0.23899999999999999</v>
      </c>
      <c r="O210" s="15">
        <v>7</v>
      </c>
      <c r="P210" s="15">
        <v>-12.83</v>
      </c>
      <c r="Q210" s="15">
        <v>1</v>
      </c>
      <c r="R210" s="15">
        <v>2.8199999999999999E-2</v>
      </c>
      <c r="S210" s="15">
        <v>0.86099999999999999</v>
      </c>
      <c r="T210" s="20" t="s">
        <v>640</v>
      </c>
      <c r="U210" s="15">
        <v>9.0200000000000002E-2</v>
      </c>
      <c r="V210" s="15">
        <v>0.13700000000000001</v>
      </c>
      <c r="W210" s="15">
        <v>73.760999999999996</v>
      </c>
      <c r="X210" s="15">
        <v>4</v>
      </c>
      <c r="Y210" s="16" t="s">
        <v>4</v>
      </c>
    </row>
    <row r="211" spans="1:25" x14ac:dyDescent="0.3">
      <c r="A211" s="17" t="s">
        <v>641</v>
      </c>
      <c r="B211" s="18" t="s">
        <v>319</v>
      </c>
      <c r="C211" s="18" t="s">
        <v>77</v>
      </c>
      <c r="D211" s="18" t="s">
        <v>642</v>
      </c>
      <c r="E211" s="18" t="str">
        <f t="shared" si="14"/>
        <v>Average</v>
      </c>
      <c r="F211" s="18">
        <v>56</v>
      </c>
      <c r="G211" s="30">
        <f t="shared" si="15"/>
        <v>46.44</v>
      </c>
      <c r="H211" s="18">
        <v>278640</v>
      </c>
      <c r="I211" s="18" t="str">
        <f t="shared" si="16"/>
        <v>Clean</v>
      </c>
      <c r="J211" s="18" t="b">
        <v>0</v>
      </c>
      <c r="K211" s="18" t="str">
        <f t="shared" si="17"/>
        <v>Very Danceable</v>
      </c>
      <c r="L211" s="18">
        <v>0.70199999999999996</v>
      </c>
      <c r="M211" s="18" t="str">
        <f t="shared" si="18"/>
        <v>Low Energy</v>
      </c>
      <c r="N211" s="18">
        <v>0.32600000000000001</v>
      </c>
      <c r="O211" s="18">
        <v>1</v>
      </c>
      <c r="P211" s="18">
        <v>-6.6379999999999999</v>
      </c>
      <c r="Q211" s="18">
        <v>1</v>
      </c>
      <c r="R211" s="18">
        <v>2.7199999999999998E-2</v>
      </c>
      <c r="S211" s="18">
        <v>0.70499999999999996</v>
      </c>
      <c r="T211" s="18">
        <v>0</v>
      </c>
      <c r="U211" s="18">
        <v>0.16800000000000001</v>
      </c>
      <c r="V211" s="18">
        <v>0.628</v>
      </c>
      <c r="W211" s="18">
        <v>79.903999999999996</v>
      </c>
      <c r="X211" s="18">
        <v>4</v>
      </c>
      <c r="Y211" s="19" t="s">
        <v>4</v>
      </c>
    </row>
    <row r="212" spans="1:25" x14ac:dyDescent="0.3">
      <c r="A212" s="14" t="s">
        <v>643</v>
      </c>
      <c r="B212" s="15" t="s">
        <v>644</v>
      </c>
      <c r="C212" s="15" t="s">
        <v>202</v>
      </c>
      <c r="D212" s="15" t="s">
        <v>645</v>
      </c>
      <c r="E212" s="15" t="str">
        <f t="shared" si="14"/>
        <v>Low</v>
      </c>
      <c r="F212" s="15">
        <v>37</v>
      </c>
      <c r="G212" s="30">
        <f t="shared" si="15"/>
        <v>35.477333333333334</v>
      </c>
      <c r="H212" s="15">
        <v>212864</v>
      </c>
      <c r="I212" s="15" t="str">
        <f t="shared" si="16"/>
        <v>Clean</v>
      </c>
      <c r="J212" s="15" t="b">
        <v>0</v>
      </c>
      <c r="K212" s="15" t="str">
        <f t="shared" si="17"/>
        <v>Moderate</v>
      </c>
      <c r="L212" s="15">
        <v>0.59299999999999997</v>
      </c>
      <c r="M212" s="15" t="str">
        <f t="shared" si="18"/>
        <v>Low Energy</v>
      </c>
      <c r="N212" s="15">
        <v>0.29199999999999998</v>
      </c>
      <c r="O212" s="15">
        <v>11</v>
      </c>
      <c r="P212" s="15">
        <v>-12.755000000000001</v>
      </c>
      <c r="Q212" s="15">
        <v>1</v>
      </c>
      <c r="R212" s="15">
        <v>3.6400000000000002E-2</v>
      </c>
      <c r="S212" s="15">
        <v>0.82799999999999996</v>
      </c>
      <c r="T212" s="15">
        <v>0</v>
      </c>
      <c r="U212" s="15">
        <v>0.17399999999999999</v>
      </c>
      <c r="V212" s="15">
        <v>0.375</v>
      </c>
      <c r="W212" s="15">
        <v>111.121</v>
      </c>
      <c r="X212" s="15">
        <v>4</v>
      </c>
      <c r="Y212" s="16" t="s">
        <v>4</v>
      </c>
    </row>
    <row r="213" spans="1:25" x14ac:dyDescent="0.3">
      <c r="A213" s="17" t="s">
        <v>646</v>
      </c>
      <c r="B213" s="18" t="s">
        <v>285</v>
      </c>
      <c r="C213" s="18" t="s">
        <v>647</v>
      </c>
      <c r="D213" s="18" t="s">
        <v>648</v>
      </c>
      <c r="E213" s="18" t="str">
        <f t="shared" si="14"/>
        <v>Average</v>
      </c>
      <c r="F213" s="18">
        <v>54</v>
      </c>
      <c r="G213" s="30">
        <f t="shared" si="15"/>
        <v>36.577666666666666</v>
      </c>
      <c r="H213" s="18">
        <v>219466</v>
      </c>
      <c r="I213" s="18" t="str">
        <f t="shared" si="16"/>
        <v>Clean</v>
      </c>
      <c r="J213" s="18" t="b">
        <v>0</v>
      </c>
      <c r="K213" s="18" t="str">
        <f t="shared" si="17"/>
        <v>Low</v>
      </c>
      <c r="L213" s="18">
        <v>0.28499999999999998</v>
      </c>
      <c r="M213" s="18" t="str">
        <f t="shared" si="18"/>
        <v>Low Energy</v>
      </c>
      <c r="N213" s="18">
        <v>0.186</v>
      </c>
      <c r="O213" s="18">
        <v>1</v>
      </c>
      <c r="P213" s="18">
        <v>-12.728999999999999</v>
      </c>
      <c r="Q213" s="18">
        <v>1</v>
      </c>
      <c r="R213" s="18">
        <v>2.8799999999999999E-2</v>
      </c>
      <c r="S213" s="18">
        <v>0.76</v>
      </c>
      <c r="T213" s="21" t="s">
        <v>649</v>
      </c>
      <c r="U213" s="18">
        <v>0.104</v>
      </c>
      <c r="V213" s="18">
        <v>0.20300000000000001</v>
      </c>
      <c r="W213" s="18">
        <v>153.84800000000001</v>
      </c>
      <c r="X213" s="18">
        <v>4</v>
      </c>
      <c r="Y213" s="19" t="s">
        <v>4</v>
      </c>
    </row>
    <row r="214" spans="1:25" x14ac:dyDescent="0.3">
      <c r="A214" s="14" t="s">
        <v>650</v>
      </c>
      <c r="B214" s="15" t="s">
        <v>393</v>
      </c>
      <c r="C214" s="15" t="s">
        <v>468</v>
      </c>
      <c r="D214" s="15" t="s">
        <v>469</v>
      </c>
      <c r="E214" s="15" t="str">
        <f t="shared" si="14"/>
        <v>Popular</v>
      </c>
      <c r="F214" s="15">
        <v>66</v>
      </c>
      <c r="G214" s="30">
        <f t="shared" si="15"/>
        <v>41.52</v>
      </c>
      <c r="H214" s="15">
        <v>249120</v>
      </c>
      <c r="I214" s="15" t="str">
        <f t="shared" si="16"/>
        <v>Clean</v>
      </c>
      <c r="J214" s="15" t="b">
        <v>0</v>
      </c>
      <c r="K214" s="15" t="str">
        <f t="shared" si="17"/>
        <v>Moderate</v>
      </c>
      <c r="L214" s="15">
        <v>0.63600000000000001</v>
      </c>
      <c r="M214" s="15" t="str">
        <f t="shared" si="18"/>
        <v>Medium Energy</v>
      </c>
      <c r="N214" s="15">
        <v>0.625</v>
      </c>
      <c r="O214" s="15">
        <v>11</v>
      </c>
      <c r="P214" s="15">
        <v>-7.8949999999999996</v>
      </c>
      <c r="Q214" s="15">
        <v>1</v>
      </c>
      <c r="R214" s="15">
        <v>2.7699999999999999E-2</v>
      </c>
      <c r="S214" s="15">
        <v>0.222</v>
      </c>
      <c r="T214" s="20" t="s">
        <v>470</v>
      </c>
      <c r="U214" s="15">
        <v>0.11899999999999999</v>
      </c>
      <c r="V214" s="15">
        <v>0.34200000000000003</v>
      </c>
      <c r="W214" s="15">
        <v>93.930999999999997</v>
      </c>
      <c r="X214" s="15">
        <v>4</v>
      </c>
      <c r="Y214" s="16" t="s">
        <v>4</v>
      </c>
    </row>
    <row r="215" spans="1:25" x14ac:dyDescent="0.3">
      <c r="A215" s="17" t="s">
        <v>651</v>
      </c>
      <c r="B215" s="18" t="s">
        <v>238</v>
      </c>
      <c r="C215" s="18" t="s">
        <v>652</v>
      </c>
      <c r="D215" s="18" t="s">
        <v>653</v>
      </c>
      <c r="E215" s="18" t="str">
        <f t="shared" si="14"/>
        <v>Popular</v>
      </c>
      <c r="F215" s="18">
        <v>63</v>
      </c>
      <c r="G215" s="30">
        <f t="shared" si="15"/>
        <v>24.733333333333334</v>
      </c>
      <c r="H215" s="18">
        <v>148400</v>
      </c>
      <c r="I215" s="18" t="str">
        <f t="shared" si="16"/>
        <v>Clean</v>
      </c>
      <c r="J215" s="18" t="b">
        <v>0</v>
      </c>
      <c r="K215" s="18" t="str">
        <f t="shared" si="17"/>
        <v>Moderate</v>
      </c>
      <c r="L215" s="18">
        <v>0.69799999999999995</v>
      </c>
      <c r="M215" s="18" t="str">
        <f t="shared" si="18"/>
        <v>Low Energy</v>
      </c>
      <c r="N215" s="18">
        <v>0.28499999999999998</v>
      </c>
      <c r="O215" s="18">
        <v>0</v>
      </c>
      <c r="P215" s="18">
        <v>-7.6319999999999997</v>
      </c>
      <c r="Q215" s="18">
        <v>1</v>
      </c>
      <c r="R215" s="18">
        <v>5.5300000000000002E-2</v>
      </c>
      <c r="S215" s="18">
        <v>0.92700000000000005</v>
      </c>
      <c r="T215" s="18">
        <v>0</v>
      </c>
      <c r="U215" s="18">
        <v>8.8300000000000003E-2</v>
      </c>
      <c r="V215" s="18">
        <v>0.53</v>
      </c>
      <c r="W215" s="18">
        <v>135.02699999999999</v>
      </c>
      <c r="X215" s="18">
        <v>4</v>
      </c>
      <c r="Y215" s="19" t="s">
        <v>4</v>
      </c>
    </row>
    <row r="216" spans="1:25" x14ac:dyDescent="0.3">
      <c r="A216" s="14" t="s">
        <v>654</v>
      </c>
      <c r="B216" s="15" t="s">
        <v>655</v>
      </c>
      <c r="C216" s="15" t="s">
        <v>42</v>
      </c>
      <c r="D216" s="15" t="s">
        <v>656</v>
      </c>
      <c r="E216" s="15" t="str">
        <f t="shared" si="14"/>
        <v>Average</v>
      </c>
      <c r="F216" s="15">
        <v>58</v>
      </c>
      <c r="G216" s="30">
        <f t="shared" si="15"/>
        <v>40.799999999999997</v>
      </c>
      <c r="H216" s="15">
        <v>244800</v>
      </c>
      <c r="I216" s="15" t="str">
        <f t="shared" si="16"/>
        <v>Clean</v>
      </c>
      <c r="J216" s="15" t="b">
        <v>0</v>
      </c>
      <c r="K216" s="15" t="str">
        <f t="shared" si="17"/>
        <v>Moderate</v>
      </c>
      <c r="L216" s="15">
        <v>0.60099999999999998</v>
      </c>
      <c r="M216" s="15" t="str">
        <f t="shared" si="18"/>
        <v>Medium Energy</v>
      </c>
      <c r="N216" s="15">
        <v>0.439</v>
      </c>
      <c r="O216" s="15">
        <v>8</v>
      </c>
      <c r="P216" s="15">
        <v>-7.5890000000000004</v>
      </c>
      <c r="Q216" s="15">
        <v>1</v>
      </c>
      <c r="R216" s="15">
        <v>2.69E-2</v>
      </c>
      <c r="S216" s="15">
        <v>6.4199999999999993E-2</v>
      </c>
      <c r="T216" s="15">
        <v>0</v>
      </c>
      <c r="U216" s="15">
        <v>9.4200000000000006E-2</v>
      </c>
      <c r="V216" s="15">
        <v>0.27500000000000002</v>
      </c>
      <c r="W216" s="15">
        <v>99.975999999999999</v>
      </c>
      <c r="X216" s="15">
        <v>4</v>
      </c>
      <c r="Y216" s="16" t="s">
        <v>4</v>
      </c>
    </row>
    <row r="217" spans="1:25" x14ac:dyDescent="0.3">
      <c r="A217" s="17" t="s">
        <v>657</v>
      </c>
      <c r="B217" s="18" t="s">
        <v>58</v>
      </c>
      <c r="C217" s="18" t="s">
        <v>658</v>
      </c>
      <c r="D217" s="18" t="s">
        <v>60</v>
      </c>
      <c r="E217" s="18" t="str">
        <f t="shared" si="14"/>
        <v>Average</v>
      </c>
      <c r="F217" s="18">
        <v>55</v>
      </c>
      <c r="G217" s="30">
        <f t="shared" si="15"/>
        <v>45.14</v>
      </c>
      <c r="H217" s="18">
        <v>270840</v>
      </c>
      <c r="I217" s="18" t="str">
        <f t="shared" si="16"/>
        <v>Clean</v>
      </c>
      <c r="J217" s="18" t="b">
        <v>0</v>
      </c>
      <c r="K217" s="18" t="str">
        <f t="shared" si="17"/>
        <v>Low</v>
      </c>
      <c r="L217" s="18">
        <v>0.33200000000000002</v>
      </c>
      <c r="M217" s="18" t="str">
        <f t="shared" si="18"/>
        <v>Low Energy</v>
      </c>
      <c r="N217" s="18">
        <v>0.29799999999999999</v>
      </c>
      <c r="O217" s="18">
        <v>4</v>
      </c>
      <c r="P217" s="18">
        <v>-14.173999999999999</v>
      </c>
      <c r="Q217" s="18">
        <v>1</v>
      </c>
      <c r="R217" s="18">
        <v>5.6899999999999999E-2</v>
      </c>
      <c r="S217" s="18">
        <v>0.875</v>
      </c>
      <c r="T217" s="18">
        <v>7.8399999999999997E-3</v>
      </c>
      <c r="U217" s="18">
        <v>0.114</v>
      </c>
      <c r="V217" s="18">
        <v>0.24299999999999999</v>
      </c>
      <c r="W217" s="18">
        <v>83.555000000000007</v>
      </c>
      <c r="X217" s="18">
        <v>4</v>
      </c>
      <c r="Y217" s="19" t="s">
        <v>4</v>
      </c>
    </row>
    <row r="218" spans="1:25" x14ac:dyDescent="0.3">
      <c r="A218" s="14" t="s">
        <v>659</v>
      </c>
      <c r="B218" s="15" t="s">
        <v>660</v>
      </c>
      <c r="C218" s="15" t="s">
        <v>661</v>
      </c>
      <c r="D218" s="15" t="s">
        <v>662</v>
      </c>
      <c r="E218" s="15" t="str">
        <f t="shared" si="14"/>
        <v>Popular</v>
      </c>
      <c r="F218" s="15">
        <v>65</v>
      </c>
      <c r="G218" s="30">
        <f t="shared" si="15"/>
        <v>46.637666666666668</v>
      </c>
      <c r="H218" s="15">
        <v>279826</v>
      </c>
      <c r="I218" s="15" t="str">
        <f t="shared" si="16"/>
        <v>Clean</v>
      </c>
      <c r="J218" s="15" t="b">
        <v>0</v>
      </c>
      <c r="K218" s="15" t="str">
        <f t="shared" si="17"/>
        <v>Low</v>
      </c>
      <c r="L218" s="15">
        <v>0.38600000000000001</v>
      </c>
      <c r="M218" s="15" t="str">
        <f t="shared" si="18"/>
        <v>Medium Energy</v>
      </c>
      <c r="N218" s="15">
        <v>0.45200000000000001</v>
      </c>
      <c r="O218" s="15">
        <v>2</v>
      </c>
      <c r="P218" s="15">
        <v>-7.7149999999999999</v>
      </c>
      <c r="Q218" s="15">
        <v>1</v>
      </c>
      <c r="R218" s="15">
        <v>2.7799999999999998E-2</v>
      </c>
      <c r="S218" s="15">
        <v>0.41699999999999998</v>
      </c>
      <c r="T218" s="15">
        <v>0</v>
      </c>
      <c r="U218" s="15">
        <v>8.8099999999999998E-2</v>
      </c>
      <c r="V218" s="15">
        <v>0.28699999999999998</v>
      </c>
      <c r="W218" s="15">
        <v>169.83699999999999</v>
      </c>
      <c r="X218" s="15">
        <v>3</v>
      </c>
      <c r="Y218" s="16" t="s">
        <v>4</v>
      </c>
    </row>
    <row r="219" spans="1:25" x14ac:dyDescent="0.3">
      <c r="A219" s="17" t="s">
        <v>663</v>
      </c>
      <c r="B219" s="18" t="s">
        <v>40</v>
      </c>
      <c r="C219" s="18" t="s">
        <v>41</v>
      </c>
      <c r="D219" s="18" t="s">
        <v>664</v>
      </c>
      <c r="E219" s="18" t="str">
        <f t="shared" si="14"/>
        <v>Popular</v>
      </c>
      <c r="F219" s="18">
        <v>69</v>
      </c>
      <c r="G219" s="30">
        <f t="shared" si="15"/>
        <v>40.677833333333332</v>
      </c>
      <c r="H219" s="18">
        <v>244067</v>
      </c>
      <c r="I219" s="18" t="str">
        <f t="shared" si="16"/>
        <v>Clean</v>
      </c>
      <c r="J219" s="18" t="b">
        <v>0</v>
      </c>
      <c r="K219" s="18" t="str">
        <f t="shared" si="17"/>
        <v>Moderate</v>
      </c>
      <c r="L219" s="18">
        <v>0.62</v>
      </c>
      <c r="M219" s="18" t="str">
        <f t="shared" si="18"/>
        <v>Medium Energy</v>
      </c>
      <c r="N219" s="18">
        <v>0.66800000000000004</v>
      </c>
      <c r="O219" s="18">
        <v>9</v>
      </c>
      <c r="P219" s="18">
        <v>-5.7190000000000003</v>
      </c>
      <c r="Q219" s="18">
        <v>1</v>
      </c>
      <c r="R219" s="18">
        <v>3.0499999999999999E-2</v>
      </c>
      <c r="S219" s="18">
        <v>8.7999999999999995E-2</v>
      </c>
      <c r="T219" s="18">
        <v>0</v>
      </c>
      <c r="U219" s="18">
        <v>0.36199999999999999</v>
      </c>
      <c r="V219" s="18">
        <v>0.183</v>
      </c>
      <c r="W219" s="18">
        <v>118.01300000000001</v>
      </c>
      <c r="X219" s="18">
        <v>4</v>
      </c>
      <c r="Y219" s="19" t="s">
        <v>4</v>
      </c>
    </row>
    <row r="220" spans="1:25" x14ac:dyDescent="0.3">
      <c r="A220" s="14" t="s">
        <v>665</v>
      </c>
      <c r="B220" s="15" t="s">
        <v>644</v>
      </c>
      <c r="C220" s="15" t="s">
        <v>552</v>
      </c>
      <c r="D220" s="15" t="s">
        <v>552</v>
      </c>
      <c r="E220" s="15" t="str">
        <f t="shared" si="14"/>
        <v>Average</v>
      </c>
      <c r="F220" s="15">
        <v>44</v>
      </c>
      <c r="G220" s="30">
        <f t="shared" si="15"/>
        <v>35.789666666666669</v>
      </c>
      <c r="H220" s="15">
        <v>214738</v>
      </c>
      <c r="I220" s="15" t="str">
        <f t="shared" si="16"/>
        <v>Clean</v>
      </c>
      <c r="J220" s="15" t="b">
        <v>0</v>
      </c>
      <c r="K220" s="15" t="str">
        <f t="shared" si="17"/>
        <v>Low</v>
      </c>
      <c r="L220" s="15">
        <v>0.39400000000000002</v>
      </c>
      <c r="M220" s="15" t="str">
        <f t="shared" si="18"/>
        <v>Low Energy</v>
      </c>
      <c r="N220" s="15">
        <v>0.28100000000000003</v>
      </c>
      <c r="O220" s="15">
        <v>9</v>
      </c>
      <c r="P220" s="15">
        <v>-11.12</v>
      </c>
      <c r="Q220" s="15">
        <v>1</v>
      </c>
      <c r="R220" s="15">
        <v>4.1399999999999999E-2</v>
      </c>
      <c r="S220" s="15">
        <v>0.82599999999999996</v>
      </c>
      <c r="T220" s="15">
        <v>0</v>
      </c>
      <c r="U220" s="15">
        <v>8.5400000000000004E-2</v>
      </c>
      <c r="V220" s="15">
        <v>0.48499999999999999</v>
      </c>
      <c r="W220" s="15">
        <v>90.043999999999997</v>
      </c>
      <c r="X220" s="15">
        <v>4</v>
      </c>
      <c r="Y220" s="16" t="s">
        <v>4</v>
      </c>
    </row>
    <row r="221" spans="1:25" x14ac:dyDescent="0.3">
      <c r="A221" s="17" t="s">
        <v>666</v>
      </c>
      <c r="B221" s="18" t="s">
        <v>6</v>
      </c>
      <c r="C221" s="18" t="s">
        <v>667</v>
      </c>
      <c r="D221" s="18" t="s">
        <v>667</v>
      </c>
      <c r="E221" s="18" t="str">
        <f t="shared" si="14"/>
        <v>Low</v>
      </c>
      <c r="F221" s="18">
        <v>39</v>
      </c>
      <c r="G221" s="30">
        <f t="shared" si="15"/>
        <v>34.612833333333334</v>
      </c>
      <c r="H221" s="18">
        <v>207677</v>
      </c>
      <c r="I221" s="18" t="str">
        <f t="shared" si="16"/>
        <v>Clean</v>
      </c>
      <c r="J221" s="18" t="b">
        <v>0</v>
      </c>
      <c r="K221" s="18" t="str">
        <f t="shared" si="17"/>
        <v>Moderate</v>
      </c>
      <c r="L221" s="18">
        <v>0.59</v>
      </c>
      <c r="M221" s="18" t="str">
        <f t="shared" si="18"/>
        <v>Medium Energy</v>
      </c>
      <c r="N221" s="18">
        <v>0.55200000000000005</v>
      </c>
      <c r="O221" s="18">
        <v>7</v>
      </c>
      <c r="P221" s="18">
        <v>-10.496</v>
      </c>
      <c r="Q221" s="18">
        <v>1</v>
      </c>
      <c r="R221" s="18">
        <v>4.07E-2</v>
      </c>
      <c r="S221" s="18">
        <v>0.65400000000000003</v>
      </c>
      <c r="T221" s="18">
        <v>3.59E-4</v>
      </c>
      <c r="U221" s="18">
        <v>0.128</v>
      </c>
      <c r="V221" s="18">
        <v>0.63500000000000001</v>
      </c>
      <c r="W221" s="18">
        <v>155.101</v>
      </c>
      <c r="X221" s="18">
        <v>5</v>
      </c>
      <c r="Y221" s="19" t="s">
        <v>4</v>
      </c>
    </row>
    <row r="222" spans="1:25" x14ac:dyDescent="0.3">
      <c r="A222" s="14" t="s">
        <v>668</v>
      </c>
      <c r="B222" s="15" t="s">
        <v>164</v>
      </c>
      <c r="C222" s="15" t="s">
        <v>487</v>
      </c>
      <c r="D222" s="15" t="s">
        <v>669</v>
      </c>
      <c r="E222" s="15" t="str">
        <f t="shared" si="14"/>
        <v>Average</v>
      </c>
      <c r="F222" s="15">
        <v>54</v>
      </c>
      <c r="G222" s="30">
        <f t="shared" si="15"/>
        <v>44.250999999999998</v>
      </c>
      <c r="H222" s="15">
        <v>265506</v>
      </c>
      <c r="I222" s="15" t="str">
        <f t="shared" si="16"/>
        <v>Clean</v>
      </c>
      <c r="J222" s="15" t="b">
        <v>0</v>
      </c>
      <c r="K222" s="15" t="str">
        <f t="shared" si="17"/>
        <v>Moderate</v>
      </c>
      <c r="L222" s="15">
        <v>0.53900000000000003</v>
      </c>
      <c r="M222" s="15" t="str">
        <f t="shared" si="18"/>
        <v>High Energy</v>
      </c>
      <c r="N222" s="15">
        <v>0.71699999999999997</v>
      </c>
      <c r="O222" s="15">
        <v>3</v>
      </c>
      <c r="P222" s="15">
        <v>-7.3849999999999998</v>
      </c>
      <c r="Q222" s="15">
        <v>1</v>
      </c>
      <c r="R222" s="15">
        <v>3.1E-2</v>
      </c>
      <c r="S222" s="15">
        <v>2.9799999999999998E-4</v>
      </c>
      <c r="T222" s="15">
        <v>0.111</v>
      </c>
      <c r="U222" s="15">
        <v>0.125</v>
      </c>
      <c r="V222" s="15">
        <v>0.21199999999999999</v>
      </c>
      <c r="W222" s="15">
        <v>117.973</v>
      </c>
      <c r="X222" s="15">
        <v>4</v>
      </c>
      <c r="Y222" s="16" t="s">
        <v>4</v>
      </c>
    </row>
    <row r="223" spans="1:25" x14ac:dyDescent="0.3">
      <c r="A223" s="17" t="s">
        <v>670</v>
      </c>
      <c r="B223" s="18" t="s">
        <v>644</v>
      </c>
      <c r="C223" s="18" t="s">
        <v>671</v>
      </c>
      <c r="D223" s="18" t="s">
        <v>672</v>
      </c>
      <c r="E223" s="18" t="str">
        <f t="shared" si="14"/>
        <v>Average</v>
      </c>
      <c r="F223" s="18">
        <v>44</v>
      </c>
      <c r="G223" s="30">
        <f t="shared" si="15"/>
        <v>31.415666666666667</v>
      </c>
      <c r="H223" s="18">
        <v>188494</v>
      </c>
      <c r="I223" s="18" t="str">
        <f t="shared" si="16"/>
        <v>Clean</v>
      </c>
      <c r="J223" s="18" t="b">
        <v>0</v>
      </c>
      <c r="K223" s="18" t="str">
        <f t="shared" si="17"/>
        <v>Moderate</v>
      </c>
      <c r="L223" s="18">
        <v>0.54300000000000004</v>
      </c>
      <c r="M223" s="18" t="str">
        <f t="shared" si="18"/>
        <v>Low Energy</v>
      </c>
      <c r="N223" s="18">
        <v>0.13800000000000001</v>
      </c>
      <c r="O223" s="18">
        <v>0</v>
      </c>
      <c r="P223" s="18">
        <v>-14.331</v>
      </c>
      <c r="Q223" s="18">
        <v>1</v>
      </c>
      <c r="R223" s="18">
        <v>5.3100000000000001E-2</v>
      </c>
      <c r="S223" s="18">
        <v>0.79100000000000004</v>
      </c>
      <c r="T223" s="18">
        <v>0</v>
      </c>
      <c r="U223" s="18">
        <v>0.185</v>
      </c>
      <c r="V223" s="18">
        <v>0.3</v>
      </c>
      <c r="W223" s="18">
        <v>115.65</v>
      </c>
      <c r="X223" s="18">
        <v>4</v>
      </c>
      <c r="Y223" s="19" t="s">
        <v>4</v>
      </c>
    </row>
    <row r="224" spans="1:25" x14ac:dyDescent="0.3">
      <c r="A224" s="14" t="s">
        <v>673</v>
      </c>
      <c r="B224" s="15" t="s">
        <v>40</v>
      </c>
      <c r="C224" s="15" t="s">
        <v>674</v>
      </c>
      <c r="D224" s="15" t="s">
        <v>674</v>
      </c>
      <c r="E224" s="15" t="str">
        <f t="shared" si="14"/>
        <v>Popular</v>
      </c>
      <c r="F224" s="15">
        <v>70</v>
      </c>
      <c r="G224" s="30">
        <f t="shared" si="15"/>
        <v>35.058999999999997</v>
      </c>
      <c r="H224" s="15">
        <v>210354</v>
      </c>
      <c r="I224" s="15" t="str">
        <f t="shared" si="16"/>
        <v>Clean</v>
      </c>
      <c r="J224" s="15" t="b">
        <v>0</v>
      </c>
      <c r="K224" s="15" t="str">
        <f t="shared" si="17"/>
        <v>Moderate</v>
      </c>
      <c r="L224" s="15">
        <v>0.62</v>
      </c>
      <c r="M224" s="15" t="str">
        <f t="shared" si="18"/>
        <v>Medium Energy</v>
      </c>
      <c r="N224" s="15">
        <v>0.54700000000000004</v>
      </c>
      <c r="O224" s="15">
        <v>1</v>
      </c>
      <c r="P224" s="15">
        <v>-6.7720000000000002</v>
      </c>
      <c r="Q224" s="15">
        <v>1</v>
      </c>
      <c r="R224" s="15">
        <v>2.4799999999999999E-2</v>
      </c>
      <c r="S224" s="15">
        <v>0.112</v>
      </c>
      <c r="T224" s="15">
        <v>0</v>
      </c>
      <c r="U224" s="15">
        <v>0.19</v>
      </c>
      <c r="V224" s="15">
        <v>0.20799999999999999</v>
      </c>
      <c r="W224" s="15">
        <v>98.031999999999996</v>
      </c>
      <c r="X224" s="15">
        <v>4</v>
      </c>
      <c r="Y224" s="16" t="s">
        <v>4</v>
      </c>
    </row>
    <row r="225" spans="1:25" x14ac:dyDescent="0.3">
      <c r="A225" s="17" t="s">
        <v>675</v>
      </c>
      <c r="B225" s="18" t="s">
        <v>676</v>
      </c>
      <c r="C225" s="18" t="s">
        <v>677</v>
      </c>
      <c r="D225" s="18" t="s">
        <v>677</v>
      </c>
      <c r="E225" s="18" t="str">
        <f t="shared" si="14"/>
        <v>Popular</v>
      </c>
      <c r="F225" s="18">
        <v>64</v>
      </c>
      <c r="G225" s="30">
        <f t="shared" si="15"/>
        <v>33.451000000000001</v>
      </c>
      <c r="H225" s="18">
        <v>200706</v>
      </c>
      <c r="I225" s="18" t="str">
        <f t="shared" si="16"/>
        <v>Clean</v>
      </c>
      <c r="J225" s="18" t="b">
        <v>0</v>
      </c>
      <c r="K225" s="18" t="str">
        <f t="shared" si="17"/>
        <v>Very Danceable</v>
      </c>
      <c r="L225" s="18">
        <v>0.76100000000000001</v>
      </c>
      <c r="M225" s="18" t="str">
        <f t="shared" si="18"/>
        <v>Low Energy</v>
      </c>
      <c r="N225" s="18">
        <v>0.311</v>
      </c>
      <c r="O225" s="18">
        <v>5</v>
      </c>
      <c r="P225" s="18">
        <v>-10.597</v>
      </c>
      <c r="Q225" s="18">
        <v>1</v>
      </c>
      <c r="R225" s="18">
        <v>6.9199999999999998E-2</v>
      </c>
      <c r="S225" s="18">
        <v>0.64700000000000002</v>
      </c>
      <c r="T225" s="18">
        <v>0</v>
      </c>
      <c r="U225" s="18">
        <v>0.15</v>
      </c>
      <c r="V225" s="18">
        <v>0.55300000000000005</v>
      </c>
      <c r="W225" s="18">
        <v>109.89100000000001</v>
      </c>
      <c r="X225" s="18">
        <v>4</v>
      </c>
      <c r="Y225" s="19" t="s">
        <v>4</v>
      </c>
    </row>
    <row r="226" spans="1:25" x14ac:dyDescent="0.3">
      <c r="A226" s="14" t="s">
        <v>678</v>
      </c>
      <c r="B226" s="15" t="s">
        <v>63</v>
      </c>
      <c r="C226" s="15" t="s">
        <v>679</v>
      </c>
      <c r="D226" s="15" t="s">
        <v>679</v>
      </c>
      <c r="E226" s="15" t="str">
        <f t="shared" si="14"/>
        <v>Average</v>
      </c>
      <c r="F226" s="15">
        <v>40</v>
      </c>
      <c r="G226" s="30">
        <f t="shared" si="15"/>
        <v>33.209333333333333</v>
      </c>
      <c r="H226" s="15">
        <v>199256</v>
      </c>
      <c r="I226" s="15" t="str">
        <f t="shared" si="16"/>
        <v>Clean</v>
      </c>
      <c r="J226" s="15" t="b">
        <v>0</v>
      </c>
      <c r="K226" s="15" t="str">
        <f t="shared" si="17"/>
        <v>Moderate</v>
      </c>
      <c r="L226" s="15">
        <v>0.67400000000000004</v>
      </c>
      <c r="M226" s="15" t="str">
        <f t="shared" si="18"/>
        <v>Low Energy</v>
      </c>
      <c r="N226" s="15">
        <v>0.122</v>
      </c>
      <c r="O226" s="15">
        <v>1</v>
      </c>
      <c r="P226" s="15">
        <v>-17.963000000000001</v>
      </c>
      <c r="Q226" s="15">
        <v>1</v>
      </c>
      <c r="R226" s="15">
        <v>4.2700000000000002E-2</v>
      </c>
      <c r="S226" s="15">
        <v>0.88200000000000001</v>
      </c>
      <c r="T226" s="15">
        <v>0</v>
      </c>
      <c r="U226" s="15">
        <v>0.13900000000000001</v>
      </c>
      <c r="V226" s="15">
        <v>0.33900000000000002</v>
      </c>
      <c r="W226" s="15">
        <v>130.01400000000001</v>
      </c>
      <c r="X226" s="15">
        <v>4</v>
      </c>
      <c r="Y226" s="16" t="s">
        <v>4</v>
      </c>
    </row>
    <row r="227" spans="1:25" x14ac:dyDescent="0.3">
      <c r="A227" s="17" t="s">
        <v>680</v>
      </c>
      <c r="B227" s="18" t="s">
        <v>526</v>
      </c>
      <c r="C227" s="18" t="s">
        <v>681</v>
      </c>
      <c r="D227" s="18" t="s">
        <v>681</v>
      </c>
      <c r="E227" s="18" t="str">
        <f t="shared" si="14"/>
        <v>Average</v>
      </c>
      <c r="F227" s="18">
        <v>47</v>
      </c>
      <c r="G227" s="30">
        <f t="shared" si="15"/>
        <v>34.277666666666669</v>
      </c>
      <c r="H227" s="18">
        <v>205666</v>
      </c>
      <c r="I227" s="18" t="str">
        <f t="shared" si="16"/>
        <v>Clean</v>
      </c>
      <c r="J227" s="18" t="b">
        <v>0</v>
      </c>
      <c r="K227" s="18" t="str">
        <f t="shared" si="17"/>
        <v>Moderate</v>
      </c>
      <c r="L227" s="18">
        <v>0.42899999999999999</v>
      </c>
      <c r="M227" s="18" t="str">
        <f t="shared" si="18"/>
        <v>Low Energy</v>
      </c>
      <c r="N227" s="18">
        <v>0.35799999999999998</v>
      </c>
      <c r="O227" s="18">
        <v>0</v>
      </c>
      <c r="P227" s="18">
        <v>-9.0760000000000005</v>
      </c>
      <c r="Q227" s="18">
        <v>1</v>
      </c>
      <c r="R227" s="18">
        <v>3.4599999999999999E-2</v>
      </c>
      <c r="S227" s="18">
        <v>0.61399999999999999</v>
      </c>
      <c r="T227" s="18">
        <v>0</v>
      </c>
      <c r="U227" s="18">
        <v>8.7499999999999994E-2</v>
      </c>
      <c r="V227" s="18">
        <v>0.187</v>
      </c>
      <c r="W227" s="18">
        <v>134.279</v>
      </c>
      <c r="X227" s="18">
        <v>4</v>
      </c>
      <c r="Y227" s="19" t="s">
        <v>4</v>
      </c>
    </row>
    <row r="228" spans="1:25" x14ac:dyDescent="0.3">
      <c r="A228" s="14" t="s">
        <v>682</v>
      </c>
      <c r="B228" s="15" t="s">
        <v>243</v>
      </c>
      <c r="C228" s="15" t="s">
        <v>683</v>
      </c>
      <c r="D228" s="15" t="s">
        <v>27</v>
      </c>
      <c r="E228" s="15" t="str">
        <f t="shared" si="14"/>
        <v>Average</v>
      </c>
      <c r="F228" s="15">
        <v>40</v>
      </c>
      <c r="G228" s="30">
        <f t="shared" si="15"/>
        <v>38.262166666666666</v>
      </c>
      <c r="H228" s="15">
        <v>229573</v>
      </c>
      <c r="I228" s="15" t="str">
        <f t="shared" si="16"/>
        <v>Clean</v>
      </c>
      <c r="J228" s="15" t="b">
        <v>0</v>
      </c>
      <c r="K228" s="15" t="str">
        <f t="shared" si="17"/>
        <v>Moderate</v>
      </c>
      <c r="L228" s="15">
        <v>0.45600000000000002</v>
      </c>
      <c r="M228" s="15" t="str">
        <f t="shared" si="18"/>
        <v>Low Energy</v>
      </c>
      <c r="N228" s="15">
        <v>0.10100000000000001</v>
      </c>
      <c r="O228" s="15">
        <v>2</v>
      </c>
      <c r="P228" s="15">
        <v>-11.75</v>
      </c>
      <c r="Q228" s="15">
        <v>1</v>
      </c>
      <c r="R228" s="15">
        <v>3.7999999999999999E-2</v>
      </c>
      <c r="S228" s="15">
        <v>0.876</v>
      </c>
      <c r="T228" s="20" t="s">
        <v>684</v>
      </c>
      <c r="U228" s="15">
        <v>7.7600000000000002E-2</v>
      </c>
      <c r="V228" s="15">
        <v>0.155</v>
      </c>
      <c r="W228" s="15">
        <v>139.89599999999999</v>
      </c>
      <c r="X228" s="15">
        <v>3</v>
      </c>
      <c r="Y228" s="16" t="s">
        <v>4</v>
      </c>
    </row>
    <row r="229" spans="1:25" x14ac:dyDescent="0.3">
      <c r="A229" s="17" t="s">
        <v>685</v>
      </c>
      <c r="B229" s="18" t="s">
        <v>40</v>
      </c>
      <c r="C229" s="18" t="s">
        <v>41</v>
      </c>
      <c r="D229" s="18" t="s">
        <v>686</v>
      </c>
      <c r="E229" s="18" t="str">
        <f t="shared" si="14"/>
        <v>Average</v>
      </c>
      <c r="F229" s="18">
        <v>55</v>
      </c>
      <c r="G229" s="30">
        <f t="shared" si="15"/>
        <v>40.158666666666669</v>
      </c>
      <c r="H229" s="18">
        <v>240952</v>
      </c>
      <c r="I229" s="18" t="str">
        <f t="shared" si="16"/>
        <v>Clean</v>
      </c>
      <c r="J229" s="18" t="b">
        <v>0</v>
      </c>
      <c r="K229" s="18" t="str">
        <f t="shared" si="17"/>
        <v>Moderate</v>
      </c>
      <c r="L229" s="18">
        <v>0.64700000000000002</v>
      </c>
      <c r="M229" s="18" t="str">
        <f t="shared" si="18"/>
        <v>Medium Energy</v>
      </c>
      <c r="N229" s="18">
        <v>0.56699999999999995</v>
      </c>
      <c r="O229" s="18">
        <v>1</v>
      </c>
      <c r="P229" s="18">
        <v>-8.9710000000000001</v>
      </c>
      <c r="Q229" s="18">
        <v>1</v>
      </c>
      <c r="R229" s="18">
        <v>3.2800000000000003E-2</v>
      </c>
      <c r="S229" s="18">
        <v>3.1800000000000002E-2</v>
      </c>
      <c r="T229" s="18">
        <v>0</v>
      </c>
      <c r="U229" s="18">
        <v>0.13300000000000001</v>
      </c>
      <c r="V229" s="18">
        <v>0.374</v>
      </c>
      <c r="W229" s="18">
        <v>125.871</v>
      </c>
      <c r="X229" s="18">
        <v>4</v>
      </c>
      <c r="Y229" s="19" t="s">
        <v>4</v>
      </c>
    </row>
    <row r="230" spans="1:25" x14ac:dyDescent="0.3">
      <c r="A230" s="14" t="s">
        <v>687</v>
      </c>
      <c r="B230" s="15" t="s">
        <v>688</v>
      </c>
      <c r="C230" s="15" t="s">
        <v>689</v>
      </c>
      <c r="D230" s="15" t="s">
        <v>690</v>
      </c>
      <c r="E230" s="15" t="str">
        <f t="shared" si="14"/>
        <v>Average</v>
      </c>
      <c r="F230" s="15">
        <v>57</v>
      </c>
      <c r="G230" s="30">
        <f t="shared" si="15"/>
        <v>33.265666666666668</v>
      </c>
      <c r="H230" s="15">
        <v>199594</v>
      </c>
      <c r="I230" s="15" t="str">
        <f t="shared" si="16"/>
        <v>Clean</v>
      </c>
      <c r="J230" s="15" t="b">
        <v>0</v>
      </c>
      <c r="K230" s="15" t="str">
        <f t="shared" si="17"/>
        <v>Low</v>
      </c>
      <c r="L230" s="15">
        <v>0.32200000000000001</v>
      </c>
      <c r="M230" s="15" t="str">
        <f t="shared" si="18"/>
        <v>Low Energy</v>
      </c>
      <c r="N230" s="15">
        <v>0.21299999999999999</v>
      </c>
      <c r="O230" s="15">
        <v>10</v>
      </c>
      <c r="P230" s="15">
        <v>-14.914999999999999</v>
      </c>
      <c r="Q230" s="15">
        <v>0</v>
      </c>
      <c r="R230" s="15">
        <v>3.1800000000000002E-2</v>
      </c>
      <c r="S230" s="15">
        <v>0.61099999999999999</v>
      </c>
      <c r="T230" s="15">
        <v>0</v>
      </c>
      <c r="U230" s="15">
        <v>0.113</v>
      </c>
      <c r="V230" s="15">
        <v>0.16</v>
      </c>
      <c r="W230" s="15">
        <v>160.38900000000001</v>
      </c>
      <c r="X230" s="15">
        <v>4</v>
      </c>
      <c r="Y230" s="16" t="s">
        <v>4</v>
      </c>
    </row>
    <row r="231" spans="1:25" x14ac:dyDescent="0.3">
      <c r="A231" s="17" t="s">
        <v>691</v>
      </c>
      <c r="B231" s="18" t="s">
        <v>692</v>
      </c>
      <c r="C231" s="18" t="s">
        <v>693</v>
      </c>
      <c r="D231" s="18" t="s">
        <v>694</v>
      </c>
      <c r="E231" s="18" t="str">
        <f t="shared" si="14"/>
        <v>Average</v>
      </c>
      <c r="F231" s="18">
        <v>48</v>
      </c>
      <c r="G231" s="30">
        <f t="shared" si="15"/>
        <v>52.88</v>
      </c>
      <c r="H231" s="18">
        <v>317280</v>
      </c>
      <c r="I231" s="18" t="str">
        <f t="shared" si="16"/>
        <v>Clean</v>
      </c>
      <c r="J231" s="18" t="b">
        <v>0</v>
      </c>
      <c r="K231" s="18" t="str">
        <f t="shared" si="17"/>
        <v>Moderate</v>
      </c>
      <c r="L231" s="18">
        <v>0.48199999999999998</v>
      </c>
      <c r="M231" s="18" t="str">
        <f t="shared" si="18"/>
        <v>Low Energy</v>
      </c>
      <c r="N231" s="18">
        <v>0.38100000000000001</v>
      </c>
      <c r="O231" s="18">
        <v>2</v>
      </c>
      <c r="P231" s="18">
        <v>-13.93</v>
      </c>
      <c r="Q231" s="18">
        <v>1</v>
      </c>
      <c r="R231" s="18">
        <v>3.1099999999999999E-2</v>
      </c>
      <c r="S231" s="18">
        <v>0.45500000000000002</v>
      </c>
      <c r="T231" s="18">
        <v>2.9499999999999999E-3</v>
      </c>
      <c r="U231" s="18">
        <v>0.114</v>
      </c>
      <c r="V231" s="18">
        <v>0.42</v>
      </c>
      <c r="W231" s="18">
        <v>81.712000000000003</v>
      </c>
      <c r="X231" s="18">
        <v>4</v>
      </c>
      <c r="Y231" s="19" t="s">
        <v>4</v>
      </c>
    </row>
    <row r="232" spans="1:25" x14ac:dyDescent="0.3">
      <c r="A232" s="14" t="s">
        <v>695</v>
      </c>
      <c r="B232" s="15" t="s">
        <v>696</v>
      </c>
      <c r="C232" s="15" t="s">
        <v>697</v>
      </c>
      <c r="D232" s="15" t="s">
        <v>698</v>
      </c>
      <c r="E232" s="15" t="str">
        <f t="shared" si="14"/>
        <v>Average</v>
      </c>
      <c r="F232" s="15">
        <v>54</v>
      </c>
      <c r="G232" s="30">
        <f t="shared" si="15"/>
        <v>38.660833333333336</v>
      </c>
      <c r="H232" s="15">
        <v>231965</v>
      </c>
      <c r="I232" s="15" t="str">
        <f t="shared" si="16"/>
        <v>Clean</v>
      </c>
      <c r="J232" s="15" t="b">
        <v>0</v>
      </c>
      <c r="K232" s="15" t="str">
        <f t="shared" si="17"/>
        <v>Low</v>
      </c>
      <c r="L232" s="15">
        <v>0.39300000000000002</v>
      </c>
      <c r="M232" s="15" t="str">
        <f t="shared" si="18"/>
        <v>Low Energy</v>
      </c>
      <c r="N232" s="15">
        <v>0.20699999999999999</v>
      </c>
      <c r="O232" s="15">
        <v>10</v>
      </c>
      <c r="P232" s="15">
        <v>-11.865</v>
      </c>
      <c r="Q232" s="15">
        <v>1</v>
      </c>
      <c r="R232" s="15">
        <v>3.9199999999999999E-2</v>
      </c>
      <c r="S232" s="15">
        <v>0.877</v>
      </c>
      <c r="T232" s="15">
        <v>0</v>
      </c>
      <c r="U232" s="15">
        <v>0.104</v>
      </c>
      <c r="V232" s="15">
        <v>0.26200000000000001</v>
      </c>
      <c r="W232" s="15">
        <v>163.99</v>
      </c>
      <c r="X232" s="15">
        <v>4</v>
      </c>
      <c r="Y232" s="16" t="s">
        <v>4</v>
      </c>
    </row>
    <row r="233" spans="1:25" x14ac:dyDescent="0.3">
      <c r="A233" s="17" t="s">
        <v>699</v>
      </c>
      <c r="B233" s="18" t="s">
        <v>201</v>
      </c>
      <c r="C233" s="18" t="s">
        <v>202</v>
      </c>
      <c r="D233" s="18" t="s">
        <v>700</v>
      </c>
      <c r="E233" s="18" t="str">
        <f t="shared" si="14"/>
        <v>Average</v>
      </c>
      <c r="F233" s="18">
        <v>53</v>
      </c>
      <c r="G233" s="30">
        <f t="shared" si="15"/>
        <v>33.466666666666669</v>
      </c>
      <c r="H233" s="18">
        <v>200800</v>
      </c>
      <c r="I233" s="18" t="str">
        <f t="shared" si="16"/>
        <v>Clean</v>
      </c>
      <c r="J233" s="18" t="b">
        <v>0</v>
      </c>
      <c r="K233" s="18" t="str">
        <f t="shared" si="17"/>
        <v>Moderate</v>
      </c>
      <c r="L233" s="18">
        <v>0.42299999999999999</v>
      </c>
      <c r="M233" s="18" t="str">
        <f t="shared" si="18"/>
        <v>Low Energy</v>
      </c>
      <c r="N233" s="18">
        <v>0.20699999999999999</v>
      </c>
      <c r="O233" s="18">
        <v>7</v>
      </c>
      <c r="P233" s="18">
        <v>-8.8109999999999999</v>
      </c>
      <c r="Q233" s="18">
        <v>1</v>
      </c>
      <c r="R233" s="18">
        <v>2.8899999999999999E-2</v>
      </c>
      <c r="S233" s="18">
        <v>0.88700000000000001</v>
      </c>
      <c r="T233" s="18">
        <v>0</v>
      </c>
      <c r="U233" s="18">
        <v>9.4799999999999995E-2</v>
      </c>
      <c r="V233" s="18">
        <v>0.20899999999999999</v>
      </c>
      <c r="W233" s="18">
        <v>149.66399999999999</v>
      </c>
      <c r="X233" s="18">
        <v>4</v>
      </c>
      <c r="Y233" s="19" t="s">
        <v>4</v>
      </c>
    </row>
    <row r="234" spans="1:25" x14ac:dyDescent="0.3">
      <c r="A234" s="14" t="s">
        <v>701</v>
      </c>
      <c r="B234" s="15" t="s">
        <v>205</v>
      </c>
      <c r="C234" s="15" t="s">
        <v>702</v>
      </c>
      <c r="D234" s="15" t="s">
        <v>703</v>
      </c>
      <c r="E234" s="15" t="str">
        <f t="shared" si="14"/>
        <v>Popular</v>
      </c>
      <c r="F234" s="15">
        <v>60</v>
      </c>
      <c r="G234" s="30">
        <f t="shared" si="15"/>
        <v>43.610833333333332</v>
      </c>
      <c r="H234" s="15">
        <v>261665</v>
      </c>
      <c r="I234" s="15" t="str">
        <f t="shared" si="16"/>
        <v>Clean</v>
      </c>
      <c r="J234" s="15" t="b">
        <v>0</v>
      </c>
      <c r="K234" s="15" t="str">
        <f t="shared" si="17"/>
        <v>Moderate</v>
      </c>
      <c r="L234" s="15">
        <v>0.52200000000000002</v>
      </c>
      <c r="M234" s="15" t="str">
        <f t="shared" si="18"/>
        <v>Low Energy</v>
      </c>
      <c r="N234" s="15">
        <v>0.152</v>
      </c>
      <c r="O234" s="15">
        <v>2</v>
      </c>
      <c r="P234" s="15">
        <v>-14.996</v>
      </c>
      <c r="Q234" s="15">
        <v>1</v>
      </c>
      <c r="R234" s="15">
        <v>3.0300000000000001E-2</v>
      </c>
      <c r="S234" s="15">
        <v>0.78800000000000003</v>
      </c>
      <c r="T234" s="20" t="s">
        <v>704</v>
      </c>
      <c r="U234" s="15">
        <v>0.14799999999999999</v>
      </c>
      <c r="V234" s="15">
        <v>0.13300000000000001</v>
      </c>
      <c r="W234" s="15">
        <v>144.05500000000001</v>
      </c>
      <c r="X234" s="15">
        <v>4</v>
      </c>
      <c r="Y234" s="16" t="s">
        <v>4</v>
      </c>
    </row>
    <row r="235" spans="1:25" x14ac:dyDescent="0.3">
      <c r="A235" s="17" t="s">
        <v>705</v>
      </c>
      <c r="B235" s="18" t="s">
        <v>388</v>
      </c>
      <c r="C235" s="18" t="s">
        <v>706</v>
      </c>
      <c r="D235" s="18" t="s">
        <v>706</v>
      </c>
      <c r="E235" s="18" t="str">
        <f t="shared" si="14"/>
        <v>Average</v>
      </c>
      <c r="F235" s="18">
        <v>54</v>
      </c>
      <c r="G235" s="30">
        <f t="shared" si="15"/>
        <v>38.600833333333334</v>
      </c>
      <c r="H235" s="18">
        <v>231605</v>
      </c>
      <c r="I235" s="18" t="str">
        <f t="shared" si="16"/>
        <v>Clean</v>
      </c>
      <c r="J235" s="18" t="b">
        <v>0</v>
      </c>
      <c r="K235" s="18" t="str">
        <f t="shared" si="17"/>
        <v>Moderate</v>
      </c>
      <c r="L235" s="18">
        <v>0.54700000000000004</v>
      </c>
      <c r="M235" s="18" t="str">
        <f t="shared" si="18"/>
        <v>Low Energy</v>
      </c>
      <c r="N235" s="18">
        <v>0.313</v>
      </c>
      <c r="O235" s="18">
        <v>0</v>
      </c>
      <c r="P235" s="18">
        <v>-7.9820000000000002</v>
      </c>
      <c r="Q235" s="18">
        <v>1</v>
      </c>
      <c r="R235" s="18">
        <v>3.15E-2</v>
      </c>
      <c r="S235" s="18">
        <v>0.61199999999999999</v>
      </c>
      <c r="T235" s="21" t="s">
        <v>707</v>
      </c>
      <c r="U235" s="18">
        <v>0.111</v>
      </c>
      <c r="V235" s="18">
        <v>0.26100000000000001</v>
      </c>
      <c r="W235" s="18">
        <v>133.73699999999999</v>
      </c>
      <c r="X235" s="18">
        <v>4</v>
      </c>
      <c r="Y235" s="19" t="s">
        <v>4</v>
      </c>
    </row>
    <row r="236" spans="1:25" x14ac:dyDescent="0.3">
      <c r="A236" s="14" t="s">
        <v>708</v>
      </c>
      <c r="B236" s="15" t="s">
        <v>692</v>
      </c>
      <c r="C236" s="15" t="s">
        <v>709</v>
      </c>
      <c r="D236" s="15" t="s">
        <v>710</v>
      </c>
      <c r="E236" s="15" t="str">
        <f t="shared" si="14"/>
        <v>Popular</v>
      </c>
      <c r="F236" s="15">
        <v>62</v>
      </c>
      <c r="G236" s="30">
        <f t="shared" si="15"/>
        <v>51.033333333333331</v>
      </c>
      <c r="H236" s="15">
        <v>306200</v>
      </c>
      <c r="I236" s="15" t="str">
        <f t="shared" si="16"/>
        <v>Clean</v>
      </c>
      <c r="J236" s="15" t="b">
        <v>0</v>
      </c>
      <c r="K236" s="15" t="str">
        <f t="shared" si="17"/>
        <v>Moderate</v>
      </c>
      <c r="L236" s="15">
        <v>0.504</v>
      </c>
      <c r="M236" s="15" t="str">
        <f t="shared" si="18"/>
        <v>Low Energy</v>
      </c>
      <c r="N236" s="15">
        <v>0.32100000000000001</v>
      </c>
      <c r="O236" s="15">
        <v>7</v>
      </c>
      <c r="P236" s="15">
        <v>-13.807</v>
      </c>
      <c r="Q236" s="15">
        <v>1</v>
      </c>
      <c r="R236" s="15">
        <v>3.1600000000000003E-2</v>
      </c>
      <c r="S236" s="15">
        <v>0.14899999999999999</v>
      </c>
      <c r="T236" s="15">
        <v>1.07E-4</v>
      </c>
      <c r="U236" s="15">
        <v>0.14699999999999999</v>
      </c>
      <c r="V236" s="15">
        <v>0.57699999999999996</v>
      </c>
      <c r="W236" s="15">
        <v>170.13399999999999</v>
      </c>
      <c r="X236" s="15">
        <v>3</v>
      </c>
      <c r="Y236" s="16" t="s">
        <v>4</v>
      </c>
    </row>
    <row r="237" spans="1:25" x14ac:dyDescent="0.3">
      <c r="A237" s="17" t="s">
        <v>711</v>
      </c>
      <c r="B237" s="18" t="s">
        <v>676</v>
      </c>
      <c r="C237" s="18" t="s">
        <v>712</v>
      </c>
      <c r="D237" s="18" t="s">
        <v>713</v>
      </c>
      <c r="E237" s="18" t="str">
        <f t="shared" si="14"/>
        <v>Average</v>
      </c>
      <c r="F237" s="18">
        <v>51</v>
      </c>
      <c r="G237" s="30">
        <f t="shared" si="15"/>
        <v>37.474499999999999</v>
      </c>
      <c r="H237" s="18">
        <v>224847</v>
      </c>
      <c r="I237" s="18" t="str">
        <f t="shared" si="16"/>
        <v>Clean</v>
      </c>
      <c r="J237" s="18" t="b">
        <v>0</v>
      </c>
      <c r="K237" s="18" t="str">
        <f t="shared" si="17"/>
        <v>Moderate</v>
      </c>
      <c r="L237" s="18">
        <v>0.46600000000000003</v>
      </c>
      <c r="M237" s="18" t="str">
        <f t="shared" si="18"/>
        <v>Low Energy</v>
      </c>
      <c r="N237" s="18">
        <v>0.161</v>
      </c>
      <c r="O237" s="18">
        <v>7</v>
      </c>
      <c r="P237" s="18">
        <v>-14.497999999999999</v>
      </c>
      <c r="Q237" s="18">
        <v>1</v>
      </c>
      <c r="R237" s="18">
        <v>4.9200000000000001E-2</v>
      </c>
      <c r="S237" s="18">
        <v>0.97899999999999998</v>
      </c>
      <c r="T237" s="18">
        <v>2.3800000000000001E-4</v>
      </c>
      <c r="U237" s="18">
        <v>0.23100000000000001</v>
      </c>
      <c r="V237" s="18">
        <v>0.17100000000000001</v>
      </c>
      <c r="W237" s="18">
        <v>139.167</v>
      </c>
      <c r="X237" s="18">
        <v>3</v>
      </c>
      <c r="Y237" s="19" t="s">
        <v>4</v>
      </c>
    </row>
    <row r="238" spans="1:25" x14ac:dyDescent="0.3">
      <c r="A238" s="14" t="s">
        <v>714</v>
      </c>
      <c r="B238" s="15" t="s">
        <v>715</v>
      </c>
      <c r="C238" s="15" t="s">
        <v>716</v>
      </c>
      <c r="D238" s="15" t="s">
        <v>717</v>
      </c>
      <c r="E238" s="15" t="str">
        <f t="shared" si="14"/>
        <v>Popular</v>
      </c>
      <c r="F238" s="15">
        <v>61</v>
      </c>
      <c r="G238" s="30">
        <f t="shared" si="15"/>
        <v>41.677166666666665</v>
      </c>
      <c r="H238" s="15">
        <v>250063</v>
      </c>
      <c r="I238" s="15" t="str">
        <f t="shared" si="16"/>
        <v>Clean</v>
      </c>
      <c r="J238" s="15" t="b">
        <v>0</v>
      </c>
      <c r="K238" s="15" t="str">
        <f t="shared" si="17"/>
        <v>Moderate</v>
      </c>
      <c r="L238" s="15">
        <v>0.61899999999999999</v>
      </c>
      <c r="M238" s="15" t="str">
        <f t="shared" si="18"/>
        <v>Low Energy</v>
      </c>
      <c r="N238" s="15">
        <v>0.28000000000000003</v>
      </c>
      <c r="O238" s="15">
        <v>8</v>
      </c>
      <c r="P238" s="15">
        <v>-10.238</v>
      </c>
      <c r="Q238" s="15">
        <v>0</v>
      </c>
      <c r="R238" s="15">
        <v>3.1699999999999999E-2</v>
      </c>
      <c r="S238" s="15">
        <v>0.73</v>
      </c>
      <c r="T238" s="15">
        <v>0</v>
      </c>
      <c r="U238" s="15">
        <v>0.10299999999999999</v>
      </c>
      <c r="V238" s="15">
        <v>0.29199999999999998</v>
      </c>
      <c r="W238" s="15">
        <v>129.94800000000001</v>
      </c>
      <c r="X238" s="15">
        <v>4</v>
      </c>
      <c r="Y238" s="16" t="s">
        <v>4</v>
      </c>
    </row>
    <row r="239" spans="1:25" x14ac:dyDescent="0.3">
      <c r="A239" s="17" t="s">
        <v>718</v>
      </c>
      <c r="B239" s="18" t="s">
        <v>380</v>
      </c>
      <c r="C239" s="18" t="s">
        <v>582</v>
      </c>
      <c r="D239" s="18" t="s">
        <v>719</v>
      </c>
      <c r="E239" s="18" t="str">
        <f t="shared" si="14"/>
        <v>Average</v>
      </c>
      <c r="F239" s="18">
        <v>51</v>
      </c>
      <c r="G239" s="30">
        <f t="shared" si="15"/>
        <v>33.655500000000004</v>
      </c>
      <c r="H239" s="18">
        <v>201933</v>
      </c>
      <c r="I239" s="18" t="str">
        <f t="shared" si="16"/>
        <v>Clean</v>
      </c>
      <c r="J239" s="18" t="b">
        <v>0</v>
      </c>
      <c r="K239" s="18" t="str">
        <f t="shared" si="17"/>
        <v>Moderate</v>
      </c>
      <c r="L239" s="18">
        <v>0.59599999999999997</v>
      </c>
      <c r="M239" s="18" t="str">
        <f t="shared" si="18"/>
        <v>Medium Energy</v>
      </c>
      <c r="N239" s="18">
        <v>0.42899999999999999</v>
      </c>
      <c r="O239" s="18">
        <v>3</v>
      </c>
      <c r="P239" s="18">
        <v>-10.16</v>
      </c>
      <c r="Q239" s="18">
        <v>1</v>
      </c>
      <c r="R239" s="18">
        <v>3.7699999999999997E-2</v>
      </c>
      <c r="S239" s="18">
        <v>0.77500000000000002</v>
      </c>
      <c r="T239" s="18">
        <v>1.0699999999999999E-2</v>
      </c>
      <c r="U239" s="18">
        <v>9.6199999999999994E-2</v>
      </c>
      <c r="V239" s="18">
        <v>0.22900000000000001</v>
      </c>
      <c r="W239" s="18">
        <v>148.08600000000001</v>
      </c>
      <c r="X239" s="18">
        <v>4</v>
      </c>
      <c r="Y239" s="19" t="s">
        <v>4</v>
      </c>
    </row>
    <row r="240" spans="1:25" x14ac:dyDescent="0.3">
      <c r="A240" s="14" t="s">
        <v>720</v>
      </c>
      <c r="B240" s="15" t="s">
        <v>251</v>
      </c>
      <c r="C240" s="15" t="s">
        <v>721</v>
      </c>
      <c r="D240" s="15" t="s">
        <v>722</v>
      </c>
      <c r="E240" s="15" t="str">
        <f t="shared" si="14"/>
        <v>Popular</v>
      </c>
      <c r="F240" s="15">
        <v>63</v>
      </c>
      <c r="G240" s="30">
        <f t="shared" si="15"/>
        <v>26.3355</v>
      </c>
      <c r="H240" s="15">
        <v>158013</v>
      </c>
      <c r="I240" s="15" t="str">
        <f t="shared" si="16"/>
        <v>Clean</v>
      </c>
      <c r="J240" s="15" t="b">
        <v>0</v>
      </c>
      <c r="K240" s="15" t="str">
        <f t="shared" si="17"/>
        <v>Moderate</v>
      </c>
      <c r="L240" s="15">
        <v>0.64500000000000002</v>
      </c>
      <c r="M240" s="15" t="str">
        <f t="shared" si="18"/>
        <v>Low Energy</v>
      </c>
      <c r="N240" s="15">
        <v>0.16900000000000001</v>
      </c>
      <c r="O240" s="15">
        <v>9</v>
      </c>
      <c r="P240" s="15">
        <v>-15.744</v>
      </c>
      <c r="Q240" s="15">
        <v>1</v>
      </c>
      <c r="R240" s="15">
        <v>3.1699999999999999E-2</v>
      </c>
      <c r="S240" s="15">
        <v>0.84399999999999997</v>
      </c>
      <c r="T240" s="15">
        <v>1.9000000000000001E-4</v>
      </c>
      <c r="U240" s="15">
        <v>0.109</v>
      </c>
      <c r="V240" s="15">
        <v>0.17799999999999999</v>
      </c>
      <c r="W240" s="15">
        <v>167.82599999999999</v>
      </c>
      <c r="X240" s="15">
        <v>4</v>
      </c>
      <c r="Y240" s="16" t="s">
        <v>4</v>
      </c>
    </row>
    <row r="241" spans="1:25" x14ac:dyDescent="0.3">
      <c r="A241" s="17" t="s">
        <v>723</v>
      </c>
      <c r="B241" s="18" t="s">
        <v>692</v>
      </c>
      <c r="C241" s="18" t="s">
        <v>724</v>
      </c>
      <c r="D241" s="18" t="s">
        <v>725</v>
      </c>
      <c r="E241" s="18" t="str">
        <f t="shared" si="14"/>
        <v>Popular</v>
      </c>
      <c r="F241" s="18">
        <v>65</v>
      </c>
      <c r="G241" s="30">
        <f t="shared" si="15"/>
        <v>49.397666666666666</v>
      </c>
      <c r="H241" s="18">
        <v>296386</v>
      </c>
      <c r="I241" s="18" t="str">
        <f t="shared" si="16"/>
        <v>Clean</v>
      </c>
      <c r="J241" s="18" t="b">
        <v>0</v>
      </c>
      <c r="K241" s="18" t="str">
        <f t="shared" si="17"/>
        <v>Moderate</v>
      </c>
      <c r="L241" s="18">
        <v>0.52200000000000002</v>
      </c>
      <c r="M241" s="18" t="str">
        <f t="shared" si="18"/>
        <v>Low Energy</v>
      </c>
      <c r="N241" s="18">
        <v>0.25600000000000001</v>
      </c>
      <c r="O241" s="18">
        <v>10</v>
      </c>
      <c r="P241" s="18">
        <v>-11.215999999999999</v>
      </c>
      <c r="Q241" s="18">
        <v>1</v>
      </c>
      <c r="R241" s="18">
        <v>2.58E-2</v>
      </c>
      <c r="S241" s="18">
        <v>0.86</v>
      </c>
      <c r="T241" s="18">
        <v>8.0599999999999997E-4</v>
      </c>
      <c r="U241" s="18">
        <v>0.14199999999999999</v>
      </c>
      <c r="V241" s="18">
        <v>0.13</v>
      </c>
      <c r="W241" s="18">
        <v>76.349000000000004</v>
      </c>
      <c r="X241" s="18">
        <v>4</v>
      </c>
      <c r="Y241" s="19" t="s">
        <v>4</v>
      </c>
    </row>
    <row r="242" spans="1:25" x14ac:dyDescent="0.3">
      <c r="A242" s="14" t="s">
        <v>726</v>
      </c>
      <c r="B242" s="15" t="s">
        <v>727</v>
      </c>
      <c r="C242" s="15" t="s">
        <v>727</v>
      </c>
      <c r="D242" s="15" t="s">
        <v>728</v>
      </c>
      <c r="E242" s="15" t="str">
        <f t="shared" si="14"/>
        <v>Popular</v>
      </c>
      <c r="F242" s="15">
        <v>64</v>
      </c>
      <c r="G242" s="30">
        <f t="shared" si="15"/>
        <v>26.742166666666666</v>
      </c>
      <c r="H242" s="15">
        <v>160453</v>
      </c>
      <c r="I242" s="15" t="str">
        <f t="shared" si="16"/>
        <v>Clean</v>
      </c>
      <c r="J242" s="15" t="b">
        <v>0</v>
      </c>
      <c r="K242" s="15" t="str">
        <f t="shared" si="17"/>
        <v>Moderate</v>
      </c>
      <c r="L242" s="15">
        <v>0.68100000000000005</v>
      </c>
      <c r="M242" s="15" t="str">
        <f t="shared" si="18"/>
        <v>Low Energy</v>
      </c>
      <c r="N242" s="15">
        <v>0.16800000000000001</v>
      </c>
      <c r="O242" s="15">
        <v>7</v>
      </c>
      <c r="P242" s="15">
        <v>-13.397</v>
      </c>
      <c r="Q242" s="15">
        <v>1</v>
      </c>
      <c r="R242" s="15">
        <v>2.9100000000000001E-2</v>
      </c>
      <c r="S242" s="15">
        <v>0.79300000000000004</v>
      </c>
      <c r="T242" s="15">
        <v>1.34E-4</v>
      </c>
      <c r="U242" s="15">
        <v>0.109</v>
      </c>
      <c r="V242" s="15">
        <v>0.28999999999999998</v>
      </c>
      <c r="W242" s="15">
        <v>128.61500000000001</v>
      </c>
      <c r="X242" s="15">
        <v>4</v>
      </c>
      <c r="Y242" s="16" t="s">
        <v>4</v>
      </c>
    </row>
    <row r="243" spans="1:25" x14ac:dyDescent="0.3">
      <c r="A243" s="17" t="s">
        <v>729</v>
      </c>
      <c r="B243" s="18" t="s">
        <v>319</v>
      </c>
      <c r="C243" s="18" t="s">
        <v>343</v>
      </c>
      <c r="D243" s="18" t="s">
        <v>730</v>
      </c>
      <c r="E243" s="18" t="str">
        <f t="shared" si="14"/>
        <v>Average</v>
      </c>
      <c r="F243" s="18">
        <v>57</v>
      </c>
      <c r="G243" s="30">
        <f t="shared" si="15"/>
        <v>30.407</v>
      </c>
      <c r="H243" s="18">
        <v>182442</v>
      </c>
      <c r="I243" s="18" t="str">
        <f t="shared" si="16"/>
        <v>Clean</v>
      </c>
      <c r="J243" s="18" t="b">
        <v>0</v>
      </c>
      <c r="K243" s="18" t="str">
        <f t="shared" si="17"/>
        <v>Very Danceable</v>
      </c>
      <c r="L243" s="18">
        <v>0.73599999999999999</v>
      </c>
      <c r="M243" s="18" t="str">
        <f t="shared" si="18"/>
        <v>Low Energy</v>
      </c>
      <c r="N243" s="18">
        <v>0.36399999999999999</v>
      </c>
      <c r="O243" s="18">
        <v>1</v>
      </c>
      <c r="P243" s="18">
        <v>-5.9660000000000002</v>
      </c>
      <c r="Q243" s="18">
        <v>1</v>
      </c>
      <c r="R243" s="18">
        <v>3.49E-2</v>
      </c>
      <c r="S243" s="18">
        <v>0.74099999999999999</v>
      </c>
      <c r="T243" s="18">
        <v>0</v>
      </c>
      <c r="U243" s="18">
        <v>9.3200000000000005E-2</v>
      </c>
      <c r="V243" s="18">
        <v>0.371</v>
      </c>
      <c r="W243" s="18">
        <v>110.023</v>
      </c>
      <c r="X243" s="18">
        <v>4</v>
      </c>
      <c r="Y243" s="19" t="s">
        <v>4</v>
      </c>
    </row>
    <row r="244" spans="1:25" x14ac:dyDescent="0.3">
      <c r="A244" s="14" t="s">
        <v>731</v>
      </c>
      <c r="B244" s="15" t="s">
        <v>732</v>
      </c>
      <c r="C244" s="15" t="s">
        <v>255</v>
      </c>
      <c r="D244" s="15" t="s">
        <v>733</v>
      </c>
      <c r="E244" s="15" t="str">
        <f t="shared" si="14"/>
        <v>Average</v>
      </c>
      <c r="F244" s="15">
        <v>54</v>
      </c>
      <c r="G244" s="30">
        <f t="shared" si="15"/>
        <v>30.226666666666667</v>
      </c>
      <c r="H244" s="15">
        <v>181360</v>
      </c>
      <c r="I244" s="15" t="str">
        <f t="shared" si="16"/>
        <v>Clean</v>
      </c>
      <c r="J244" s="15" t="b">
        <v>0</v>
      </c>
      <c r="K244" s="15" t="str">
        <f t="shared" si="17"/>
        <v>Moderate</v>
      </c>
      <c r="L244" s="15">
        <v>0.45100000000000001</v>
      </c>
      <c r="M244" s="15" t="str">
        <f t="shared" si="18"/>
        <v>Medium Energy</v>
      </c>
      <c r="N244" s="15">
        <v>0.52800000000000002</v>
      </c>
      <c r="O244" s="15">
        <v>2</v>
      </c>
      <c r="P244" s="15">
        <v>-6.984</v>
      </c>
      <c r="Q244" s="15">
        <v>1</v>
      </c>
      <c r="R244" s="15">
        <v>3.6400000000000002E-2</v>
      </c>
      <c r="S244" s="15">
        <v>0.36599999999999999</v>
      </c>
      <c r="T244" s="15">
        <v>0</v>
      </c>
      <c r="U244" s="15">
        <v>8.1100000000000005E-2</v>
      </c>
      <c r="V244" s="15">
        <v>0.52700000000000002</v>
      </c>
      <c r="W244" s="15">
        <v>139.28</v>
      </c>
      <c r="X244" s="15">
        <v>5</v>
      </c>
      <c r="Y244" s="16" t="s">
        <v>4</v>
      </c>
    </row>
    <row r="245" spans="1:25" x14ac:dyDescent="0.3">
      <c r="A245" s="17" t="s">
        <v>734</v>
      </c>
      <c r="B245" s="18" t="s">
        <v>735</v>
      </c>
      <c r="C245" s="18" t="s">
        <v>736</v>
      </c>
      <c r="D245" s="18" t="s">
        <v>737</v>
      </c>
      <c r="E245" s="18" t="str">
        <f t="shared" si="14"/>
        <v>Low</v>
      </c>
      <c r="F245" s="18">
        <v>37</v>
      </c>
      <c r="G245" s="30">
        <f t="shared" si="15"/>
        <v>28.219666666666665</v>
      </c>
      <c r="H245" s="18">
        <v>169318</v>
      </c>
      <c r="I245" s="18" t="str">
        <f t="shared" si="16"/>
        <v>Clean</v>
      </c>
      <c r="J245" s="18" t="b">
        <v>1</v>
      </c>
      <c r="K245" s="18" t="str">
        <f t="shared" si="17"/>
        <v>Low</v>
      </c>
      <c r="L245" s="18">
        <v>0.371</v>
      </c>
      <c r="M245" s="18" t="str">
        <f t="shared" si="18"/>
        <v>Medium Energy</v>
      </c>
      <c r="N245" s="18">
        <v>0.67400000000000004</v>
      </c>
      <c r="O245" s="18">
        <v>9</v>
      </c>
      <c r="P245" s="18">
        <v>-3.72</v>
      </c>
      <c r="Q245" s="18">
        <v>1</v>
      </c>
      <c r="R245" s="18">
        <v>4.8800000000000003E-2</v>
      </c>
      <c r="S245" s="18">
        <v>0.16900000000000001</v>
      </c>
      <c r="T245" s="18">
        <v>0</v>
      </c>
      <c r="U245" s="18">
        <v>8.8900000000000007E-2</v>
      </c>
      <c r="V245" s="18">
        <v>0.92</v>
      </c>
      <c r="W245" s="18">
        <v>87.602999999999994</v>
      </c>
      <c r="X245" s="18">
        <v>4</v>
      </c>
      <c r="Y245" s="19" t="s">
        <v>4</v>
      </c>
    </row>
    <row r="246" spans="1:25" x14ac:dyDescent="0.3">
      <c r="A246" s="14" t="s">
        <v>738</v>
      </c>
      <c r="B246" s="15" t="s">
        <v>184</v>
      </c>
      <c r="C246" s="15" t="s">
        <v>274</v>
      </c>
      <c r="D246" s="15" t="s">
        <v>739</v>
      </c>
      <c r="E246" s="15" t="str">
        <f t="shared" si="14"/>
        <v>Popular</v>
      </c>
      <c r="F246" s="15">
        <v>63</v>
      </c>
      <c r="G246" s="30">
        <f t="shared" si="15"/>
        <v>36.42883333333333</v>
      </c>
      <c r="H246" s="15">
        <v>218573</v>
      </c>
      <c r="I246" s="15" t="str">
        <f t="shared" si="16"/>
        <v>Clean</v>
      </c>
      <c r="J246" s="15" t="b">
        <v>0</v>
      </c>
      <c r="K246" s="15" t="str">
        <f t="shared" si="17"/>
        <v>Very Danceable</v>
      </c>
      <c r="L246" s="15">
        <v>0.73099999999999998</v>
      </c>
      <c r="M246" s="15" t="str">
        <f t="shared" si="18"/>
        <v>Medium Energy</v>
      </c>
      <c r="N246" s="15">
        <v>0.57199999999999995</v>
      </c>
      <c r="O246" s="15">
        <v>6</v>
      </c>
      <c r="P246" s="15">
        <v>-7.8890000000000002</v>
      </c>
      <c r="Q246" s="15">
        <v>0</v>
      </c>
      <c r="R246" s="15">
        <v>4.4499999999999998E-2</v>
      </c>
      <c r="S246" s="15">
        <v>0.105</v>
      </c>
      <c r="T246" s="15">
        <v>1.2E-4</v>
      </c>
      <c r="U246" s="15">
        <v>0.13300000000000001</v>
      </c>
      <c r="V246" s="15">
        <v>0.94699999999999995</v>
      </c>
      <c r="W246" s="15">
        <v>154.03800000000001</v>
      </c>
      <c r="X246" s="15">
        <v>4</v>
      </c>
      <c r="Y246" s="16" t="s">
        <v>4</v>
      </c>
    </row>
    <row r="247" spans="1:25" x14ac:dyDescent="0.3">
      <c r="A247" s="17" t="s">
        <v>740</v>
      </c>
      <c r="B247" s="18" t="s">
        <v>741</v>
      </c>
      <c r="C247" s="18" t="s">
        <v>742</v>
      </c>
      <c r="D247" s="18" t="s">
        <v>743</v>
      </c>
      <c r="E247" s="18" t="str">
        <f t="shared" si="14"/>
        <v>Average</v>
      </c>
      <c r="F247" s="18">
        <v>53</v>
      </c>
      <c r="G247" s="30">
        <f t="shared" si="15"/>
        <v>24.86</v>
      </c>
      <c r="H247" s="18">
        <v>149160</v>
      </c>
      <c r="I247" s="18" t="str">
        <f t="shared" si="16"/>
        <v>Clean</v>
      </c>
      <c r="J247" s="18" t="b">
        <v>0</v>
      </c>
      <c r="K247" s="18" t="str">
        <f t="shared" si="17"/>
        <v>Moderate</v>
      </c>
      <c r="L247" s="18">
        <v>0.69</v>
      </c>
      <c r="M247" s="18" t="str">
        <f t="shared" si="18"/>
        <v>Low Energy</v>
      </c>
      <c r="N247" s="18">
        <v>0.33400000000000002</v>
      </c>
      <c r="O247" s="18">
        <v>9</v>
      </c>
      <c r="P247" s="18">
        <v>-5.6260000000000003</v>
      </c>
      <c r="Q247" s="18">
        <v>1</v>
      </c>
      <c r="R247" s="18">
        <v>6.6000000000000003E-2</v>
      </c>
      <c r="S247" s="18">
        <v>0.94699999999999995</v>
      </c>
      <c r="T247" s="18">
        <v>0</v>
      </c>
      <c r="U247" s="18">
        <v>8.9499999999999996E-2</v>
      </c>
      <c r="V247" s="18">
        <v>0.8</v>
      </c>
      <c r="W247" s="18">
        <v>74.721000000000004</v>
      </c>
      <c r="X247" s="18">
        <v>4</v>
      </c>
      <c r="Y247" s="19" t="s">
        <v>4</v>
      </c>
    </row>
    <row r="248" spans="1:25" x14ac:dyDescent="0.3">
      <c r="A248" s="14" t="s">
        <v>744</v>
      </c>
      <c r="B248" s="15" t="s">
        <v>745</v>
      </c>
      <c r="C248" s="15" t="s">
        <v>746</v>
      </c>
      <c r="D248" s="15" t="s">
        <v>747</v>
      </c>
      <c r="E248" s="15" t="str">
        <f t="shared" si="14"/>
        <v>Low</v>
      </c>
      <c r="F248" s="15">
        <v>0</v>
      </c>
      <c r="G248" s="30">
        <f t="shared" si="15"/>
        <v>30.548833333333334</v>
      </c>
      <c r="H248" s="15">
        <v>183293</v>
      </c>
      <c r="I248" s="15" t="str">
        <f t="shared" si="16"/>
        <v>Clean</v>
      </c>
      <c r="J248" s="15" t="b">
        <v>0</v>
      </c>
      <c r="K248" s="15" t="str">
        <f t="shared" si="17"/>
        <v>Moderate</v>
      </c>
      <c r="L248" s="15">
        <v>0.59399999999999997</v>
      </c>
      <c r="M248" s="15" t="str">
        <f t="shared" si="18"/>
        <v>Low Energy</v>
      </c>
      <c r="N248" s="15">
        <v>0.307</v>
      </c>
      <c r="O248" s="15">
        <v>10</v>
      </c>
      <c r="P248" s="15">
        <v>-13.061999999999999</v>
      </c>
      <c r="Q248" s="15">
        <v>1</v>
      </c>
      <c r="R248" s="15">
        <v>2.4899999999999999E-2</v>
      </c>
      <c r="S248" s="15">
        <v>0.79600000000000004</v>
      </c>
      <c r="T248" s="15">
        <v>4.1399999999999999E-2</v>
      </c>
      <c r="U248" s="15">
        <v>0.15</v>
      </c>
      <c r="V248" s="15">
        <v>0.24</v>
      </c>
      <c r="W248" s="15">
        <v>94.025999999999996</v>
      </c>
      <c r="X248" s="15">
        <v>3</v>
      </c>
      <c r="Y248" s="16" t="s">
        <v>4</v>
      </c>
    </row>
    <row r="249" spans="1:25" x14ac:dyDescent="0.3">
      <c r="A249" s="17" t="s">
        <v>748</v>
      </c>
      <c r="B249" s="18" t="s">
        <v>749</v>
      </c>
      <c r="C249" s="18" t="s">
        <v>750</v>
      </c>
      <c r="D249" s="18" t="s">
        <v>751</v>
      </c>
      <c r="E249" s="18" t="str">
        <f t="shared" si="14"/>
        <v>Low</v>
      </c>
      <c r="F249" s="18">
        <v>36</v>
      </c>
      <c r="G249" s="30">
        <f t="shared" si="15"/>
        <v>28.210999999999999</v>
      </c>
      <c r="H249" s="18">
        <v>169266</v>
      </c>
      <c r="I249" s="18" t="str">
        <f t="shared" si="16"/>
        <v>Clean</v>
      </c>
      <c r="J249" s="18" t="b">
        <v>1</v>
      </c>
      <c r="K249" s="18" t="str">
        <f t="shared" si="17"/>
        <v>Moderate</v>
      </c>
      <c r="L249" s="18">
        <v>0.60799999999999998</v>
      </c>
      <c r="M249" s="18" t="str">
        <f t="shared" si="18"/>
        <v>High Energy</v>
      </c>
      <c r="N249" s="18">
        <v>0.91700000000000004</v>
      </c>
      <c r="O249" s="18">
        <v>11</v>
      </c>
      <c r="P249" s="18">
        <v>-5.3410000000000002</v>
      </c>
      <c r="Q249" s="18">
        <v>1</v>
      </c>
      <c r="R249" s="18">
        <v>6.0100000000000001E-2</v>
      </c>
      <c r="S249" s="18">
        <v>0.23599999999999999</v>
      </c>
      <c r="T249" s="18">
        <v>0</v>
      </c>
      <c r="U249" s="18">
        <v>0.13</v>
      </c>
      <c r="V249" s="18">
        <v>0.93600000000000005</v>
      </c>
      <c r="W249" s="18">
        <v>117.875</v>
      </c>
      <c r="X249" s="18">
        <v>4</v>
      </c>
      <c r="Y249" s="19" t="s">
        <v>4</v>
      </c>
    </row>
    <row r="250" spans="1:25" x14ac:dyDescent="0.3">
      <c r="A250" s="14" t="s">
        <v>752</v>
      </c>
      <c r="B250" s="15" t="s">
        <v>753</v>
      </c>
      <c r="C250" s="15" t="s">
        <v>754</v>
      </c>
      <c r="D250" s="15" t="s">
        <v>755</v>
      </c>
      <c r="E250" s="15" t="str">
        <f t="shared" si="14"/>
        <v>Low</v>
      </c>
      <c r="F250" s="15">
        <v>0</v>
      </c>
      <c r="G250" s="30">
        <f t="shared" si="15"/>
        <v>45.44</v>
      </c>
      <c r="H250" s="15">
        <v>272640</v>
      </c>
      <c r="I250" s="15" t="str">
        <f t="shared" si="16"/>
        <v>Clean</v>
      </c>
      <c r="J250" s="15" t="b">
        <v>0</v>
      </c>
      <c r="K250" s="15" t="str">
        <f t="shared" si="17"/>
        <v>Moderate</v>
      </c>
      <c r="L250" s="15">
        <v>0.68700000000000006</v>
      </c>
      <c r="M250" s="15" t="str">
        <f t="shared" si="18"/>
        <v>Medium Energy</v>
      </c>
      <c r="N250" s="15">
        <v>0.49399999999999999</v>
      </c>
      <c r="O250" s="15">
        <v>1</v>
      </c>
      <c r="P250" s="15">
        <v>-9.4209999999999994</v>
      </c>
      <c r="Q250" s="15">
        <v>1</v>
      </c>
      <c r="R250" s="15">
        <v>5.0500000000000003E-2</v>
      </c>
      <c r="S250" s="15">
        <v>0.32400000000000001</v>
      </c>
      <c r="T250" s="20" t="s">
        <v>756</v>
      </c>
      <c r="U250" s="15">
        <v>8.6699999999999999E-2</v>
      </c>
      <c r="V250" s="15">
        <v>0.621</v>
      </c>
      <c r="W250" s="15">
        <v>93.269000000000005</v>
      </c>
      <c r="X250" s="15">
        <v>1</v>
      </c>
      <c r="Y250" s="16" t="s">
        <v>4</v>
      </c>
    </row>
    <row r="251" spans="1:25" x14ac:dyDescent="0.3">
      <c r="A251" s="17" t="s">
        <v>757</v>
      </c>
      <c r="B251" s="18" t="s">
        <v>753</v>
      </c>
      <c r="C251" s="18" t="s">
        <v>758</v>
      </c>
      <c r="D251" s="18" t="s">
        <v>755</v>
      </c>
      <c r="E251" s="18" t="str">
        <f t="shared" si="14"/>
        <v>Low</v>
      </c>
      <c r="F251" s="18">
        <v>0</v>
      </c>
      <c r="G251" s="30">
        <f t="shared" si="15"/>
        <v>45.44</v>
      </c>
      <c r="H251" s="18">
        <v>272640</v>
      </c>
      <c r="I251" s="18" t="str">
        <f t="shared" si="16"/>
        <v>Clean</v>
      </c>
      <c r="J251" s="18" t="b">
        <v>0</v>
      </c>
      <c r="K251" s="18" t="str">
        <f t="shared" si="17"/>
        <v>Moderate</v>
      </c>
      <c r="L251" s="18">
        <v>0.68700000000000006</v>
      </c>
      <c r="M251" s="18" t="str">
        <f t="shared" si="18"/>
        <v>Medium Energy</v>
      </c>
      <c r="N251" s="18">
        <v>0.49399999999999999</v>
      </c>
      <c r="O251" s="18">
        <v>1</v>
      </c>
      <c r="P251" s="18">
        <v>-9.4209999999999994</v>
      </c>
      <c r="Q251" s="18">
        <v>1</v>
      </c>
      <c r="R251" s="18">
        <v>5.0500000000000003E-2</v>
      </c>
      <c r="S251" s="18">
        <v>0.32400000000000001</v>
      </c>
      <c r="T251" s="21" t="s">
        <v>756</v>
      </c>
      <c r="U251" s="18">
        <v>8.6699999999999999E-2</v>
      </c>
      <c r="V251" s="18">
        <v>0.621</v>
      </c>
      <c r="W251" s="18">
        <v>93.269000000000005</v>
      </c>
      <c r="X251" s="18">
        <v>1</v>
      </c>
      <c r="Y251" s="19" t="s">
        <v>4</v>
      </c>
    </row>
    <row r="252" spans="1:25" x14ac:dyDescent="0.3">
      <c r="A252" s="14" t="s">
        <v>759</v>
      </c>
      <c r="B252" s="15" t="s">
        <v>332</v>
      </c>
      <c r="C252" s="15" t="s">
        <v>760</v>
      </c>
      <c r="D252" s="15" t="s">
        <v>761</v>
      </c>
      <c r="E252" s="15" t="str">
        <f t="shared" si="14"/>
        <v>Average</v>
      </c>
      <c r="F252" s="15">
        <v>55</v>
      </c>
      <c r="G252" s="30">
        <f t="shared" si="15"/>
        <v>29.418166666666668</v>
      </c>
      <c r="H252" s="15">
        <v>176509</v>
      </c>
      <c r="I252" s="15" t="str">
        <f t="shared" si="16"/>
        <v>Clean</v>
      </c>
      <c r="J252" s="15" t="b">
        <v>0</v>
      </c>
      <c r="K252" s="15" t="str">
        <f t="shared" si="17"/>
        <v>Moderate</v>
      </c>
      <c r="L252" s="15">
        <v>0.65200000000000002</v>
      </c>
      <c r="M252" s="15" t="str">
        <f t="shared" si="18"/>
        <v>Low Energy</v>
      </c>
      <c r="N252" s="15">
        <v>0.15</v>
      </c>
      <c r="O252" s="15">
        <v>5</v>
      </c>
      <c r="P252" s="15">
        <v>-12.699</v>
      </c>
      <c r="Q252" s="15">
        <v>1</v>
      </c>
      <c r="R252" s="15">
        <v>3.6299999999999999E-2</v>
      </c>
      <c r="S252" s="15">
        <v>0.92300000000000004</v>
      </c>
      <c r="T252" s="15">
        <v>0</v>
      </c>
      <c r="U252" s="15">
        <v>0.10199999999999999</v>
      </c>
      <c r="V252" s="15">
        <v>0.36099999999999999</v>
      </c>
      <c r="W252" s="15">
        <v>104.018</v>
      </c>
      <c r="X252" s="15">
        <v>3</v>
      </c>
      <c r="Y252" s="16" t="s">
        <v>4</v>
      </c>
    </row>
    <row r="253" spans="1:25" x14ac:dyDescent="0.3">
      <c r="A253" s="17" t="s">
        <v>762</v>
      </c>
      <c r="B253" s="18" t="s">
        <v>332</v>
      </c>
      <c r="C253" s="18" t="s">
        <v>763</v>
      </c>
      <c r="D253" s="18" t="s">
        <v>764</v>
      </c>
      <c r="E253" s="18" t="str">
        <f t="shared" si="14"/>
        <v>Average</v>
      </c>
      <c r="F253" s="18">
        <v>57</v>
      </c>
      <c r="G253" s="30">
        <f t="shared" si="15"/>
        <v>29.981000000000002</v>
      </c>
      <c r="H253" s="18">
        <v>179886</v>
      </c>
      <c r="I253" s="18" t="str">
        <f t="shared" si="16"/>
        <v>Clean</v>
      </c>
      <c r="J253" s="18" t="b">
        <v>0</v>
      </c>
      <c r="K253" s="18" t="str">
        <f t="shared" si="17"/>
        <v>Very Danceable</v>
      </c>
      <c r="L253" s="18">
        <v>0.76500000000000001</v>
      </c>
      <c r="M253" s="18" t="str">
        <f t="shared" si="18"/>
        <v>Low Energy</v>
      </c>
      <c r="N253" s="18">
        <v>0.24099999999999999</v>
      </c>
      <c r="O253" s="18">
        <v>4</v>
      </c>
      <c r="P253" s="18">
        <v>-8.8650000000000002</v>
      </c>
      <c r="Q253" s="18">
        <v>1</v>
      </c>
      <c r="R253" s="18">
        <v>3.73E-2</v>
      </c>
      <c r="S253" s="18">
        <v>0.873</v>
      </c>
      <c r="T253" s="18">
        <v>0</v>
      </c>
      <c r="U253" s="18">
        <v>0.111</v>
      </c>
      <c r="V253" s="18">
        <v>0.182</v>
      </c>
      <c r="W253" s="18">
        <v>123.95</v>
      </c>
      <c r="X253" s="18">
        <v>4</v>
      </c>
      <c r="Y253" s="19" t="s">
        <v>4</v>
      </c>
    </row>
    <row r="254" spans="1:25" x14ac:dyDescent="0.3">
      <c r="A254" s="14" t="s">
        <v>765</v>
      </c>
      <c r="B254" s="15" t="s">
        <v>172</v>
      </c>
      <c r="C254" s="15" t="s">
        <v>766</v>
      </c>
      <c r="D254" s="15" t="s">
        <v>767</v>
      </c>
      <c r="E254" s="15" t="str">
        <f t="shared" si="14"/>
        <v>Average</v>
      </c>
      <c r="F254" s="15">
        <v>54</v>
      </c>
      <c r="G254" s="30">
        <f t="shared" si="15"/>
        <v>30.7</v>
      </c>
      <c r="H254" s="15">
        <v>184200</v>
      </c>
      <c r="I254" s="15" t="str">
        <f t="shared" si="16"/>
        <v>Clean</v>
      </c>
      <c r="J254" s="15" t="b">
        <v>0</v>
      </c>
      <c r="K254" s="15" t="str">
        <f t="shared" si="17"/>
        <v>Moderate</v>
      </c>
      <c r="L254" s="15">
        <v>0.58899999999999997</v>
      </c>
      <c r="M254" s="15" t="str">
        <f t="shared" si="18"/>
        <v>Low Energy</v>
      </c>
      <c r="N254" s="15">
        <v>0.249</v>
      </c>
      <c r="O254" s="15">
        <v>2</v>
      </c>
      <c r="P254" s="15">
        <v>-10.086</v>
      </c>
      <c r="Q254" s="15">
        <v>1</v>
      </c>
      <c r="R254" s="15">
        <v>3.2899999999999999E-2</v>
      </c>
      <c r="S254" s="15">
        <v>0.71699999999999997</v>
      </c>
      <c r="T254" s="15">
        <v>0</v>
      </c>
      <c r="U254" s="15">
        <v>0.106</v>
      </c>
      <c r="V254" s="15">
        <v>0.36299999999999999</v>
      </c>
      <c r="W254" s="15">
        <v>150.096</v>
      </c>
      <c r="X254" s="15">
        <v>3</v>
      </c>
      <c r="Y254" s="16" t="s">
        <v>4</v>
      </c>
    </row>
    <row r="255" spans="1:25" x14ac:dyDescent="0.3">
      <c r="A255" s="17" t="s">
        <v>768</v>
      </c>
      <c r="B255" s="18" t="s">
        <v>160</v>
      </c>
      <c r="C255" s="18" t="s">
        <v>306</v>
      </c>
      <c r="D255" s="18" t="s">
        <v>769</v>
      </c>
      <c r="E255" s="18" t="str">
        <f t="shared" si="14"/>
        <v>Average</v>
      </c>
      <c r="F255" s="18">
        <v>44</v>
      </c>
      <c r="G255" s="30">
        <f t="shared" si="15"/>
        <v>74.551000000000002</v>
      </c>
      <c r="H255" s="18">
        <v>447306</v>
      </c>
      <c r="I255" s="18" t="str">
        <f t="shared" si="16"/>
        <v>Clean</v>
      </c>
      <c r="J255" s="18" t="b">
        <v>0</v>
      </c>
      <c r="K255" s="18" t="str">
        <f t="shared" si="17"/>
        <v>Moderate</v>
      </c>
      <c r="L255" s="18">
        <v>0.58799999999999997</v>
      </c>
      <c r="M255" s="18" t="str">
        <f t="shared" si="18"/>
        <v>Medium Energy</v>
      </c>
      <c r="N255" s="18">
        <v>0.60399999999999998</v>
      </c>
      <c r="O255" s="18">
        <v>9</v>
      </c>
      <c r="P255" s="18">
        <v>-7.6020000000000003</v>
      </c>
      <c r="Q255" s="18">
        <v>1</v>
      </c>
      <c r="R255" s="18">
        <v>2.4E-2</v>
      </c>
      <c r="S255" s="18">
        <v>0.34300000000000003</v>
      </c>
      <c r="T255" s="21" t="s">
        <v>770</v>
      </c>
      <c r="U255" s="18">
        <v>0.252</v>
      </c>
      <c r="V255" s="18">
        <v>0.35099999999999998</v>
      </c>
      <c r="W255" s="18">
        <v>92.02</v>
      </c>
      <c r="X255" s="18">
        <v>4</v>
      </c>
      <c r="Y255" s="19" t="s">
        <v>4</v>
      </c>
    </row>
    <row r="256" spans="1:25" x14ac:dyDescent="0.3">
      <c r="A256" s="14" t="s">
        <v>771</v>
      </c>
      <c r="B256" s="15" t="s">
        <v>772</v>
      </c>
      <c r="C256" s="15" t="s">
        <v>773</v>
      </c>
      <c r="D256" s="15" t="s">
        <v>774</v>
      </c>
      <c r="E256" s="15" t="str">
        <f t="shared" si="14"/>
        <v>Average</v>
      </c>
      <c r="F256" s="15">
        <v>51</v>
      </c>
      <c r="G256" s="30">
        <f t="shared" si="15"/>
        <v>18.057666666666666</v>
      </c>
      <c r="H256" s="15">
        <v>108346</v>
      </c>
      <c r="I256" s="15" t="str">
        <f t="shared" si="16"/>
        <v>Clean</v>
      </c>
      <c r="J256" s="15" t="b">
        <v>0</v>
      </c>
      <c r="K256" s="15" t="str">
        <f t="shared" si="17"/>
        <v>Very Danceable</v>
      </c>
      <c r="L256" s="15">
        <v>0.73499999999999999</v>
      </c>
      <c r="M256" s="15" t="str">
        <f t="shared" si="18"/>
        <v>Low Energy</v>
      </c>
      <c r="N256" s="15">
        <v>0.20300000000000001</v>
      </c>
      <c r="O256" s="15">
        <v>9</v>
      </c>
      <c r="P256" s="15">
        <v>-13.237</v>
      </c>
      <c r="Q256" s="15">
        <v>0</v>
      </c>
      <c r="R256" s="15">
        <v>5.3900000000000003E-2</v>
      </c>
      <c r="S256" s="15">
        <v>0.85399999999999998</v>
      </c>
      <c r="T256" s="15">
        <v>1.64E-3</v>
      </c>
      <c r="U256" s="15">
        <v>0.105</v>
      </c>
      <c r="V256" s="15">
        <v>0.47899999999999998</v>
      </c>
      <c r="W256" s="15">
        <v>113.913</v>
      </c>
      <c r="X256" s="15">
        <v>4</v>
      </c>
      <c r="Y256" s="16" t="s">
        <v>4</v>
      </c>
    </row>
    <row r="257" spans="1:25" x14ac:dyDescent="0.3">
      <c r="A257" s="17" t="s">
        <v>775</v>
      </c>
      <c r="B257" s="18" t="s">
        <v>644</v>
      </c>
      <c r="C257" s="18" t="s">
        <v>776</v>
      </c>
      <c r="D257" s="18" t="s">
        <v>776</v>
      </c>
      <c r="E257" s="18" t="str">
        <f t="shared" si="14"/>
        <v>Average</v>
      </c>
      <c r="F257" s="18">
        <v>42</v>
      </c>
      <c r="G257" s="30">
        <f t="shared" si="15"/>
        <v>26.794666666666668</v>
      </c>
      <c r="H257" s="18">
        <v>160768</v>
      </c>
      <c r="I257" s="18" t="str">
        <f t="shared" si="16"/>
        <v>Clean</v>
      </c>
      <c r="J257" s="18" t="b">
        <v>0</v>
      </c>
      <c r="K257" s="18" t="str">
        <f t="shared" si="17"/>
        <v>Moderate</v>
      </c>
      <c r="L257" s="18">
        <v>0.65500000000000003</v>
      </c>
      <c r="M257" s="18" t="str">
        <f t="shared" si="18"/>
        <v>Low Energy</v>
      </c>
      <c r="N257" s="18">
        <v>0.14699999999999999</v>
      </c>
      <c r="O257" s="18">
        <v>8</v>
      </c>
      <c r="P257" s="18">
        <v>-14.409000000000001</v>
      </c>
      <c r="Q257" s="18">
        <v>1</v>
      </c>
      <c r="R257" s="18">
        <v>3.7100000000000001E-2</v>
      </c>
      <c r="S257" s="18">
        <v>0.88</v>
      </c>
      <c r="T257" s="18">
        <v>0</v>
      </c>
      <c r="U257" s="18">
        <v>0.26600000000000001</v>
      </c>
      <c r="V257" s="18">
        <v>0.32800000000000001</v>
      </c>
      <c r="W257" s="18">
        <v>116.10299999999999</v>
      </c>
      <c r="X257" s="18">
        <v>4</v>
      </c>
      <c r="Y257" s="19" t="s">
        <v>4</v>
      </c>
    </row>
    <row r="258" spans="1:25" x14ac:dyDescent="0.3">
      <c r="A258" s="14" t="s">
        <v>777</v>
      </c>
      <c r="B258" s="15" t="s">
        <v>630</v>
      </c>
      <c r="C258" s="15" t="s">
        <v>778</v>
      </c>
      <c r="D258" s="15" t="s">
        <v>779</v>
      </c>
      <c r="E258" s="15" t="str">
        <f t="shared" ref="E258:E321" si="19">IF( F258&gt;=80,"Hit",
IF(F258&gt;=60,"Popular",
IF( F258&gt;=40,"Average","Low")))</f>
        <v>Average</v>
      </c>
      <c r="F258" s="15">
        <v>47</v>
      </c>
      <c r="G258" s="30">
        <f t="shared" ref="G258:G321" si="20">H258/6000</f>
        <v>50.72</v>
      </c>
      <c r="H258" s="15">
        <v>304320</v>
      </c>
      <c r="I258" s="15" t="str">
        <f t="shared" ref="I258:I321" si="21">IF(E258=TRUE,"Explicit","Clean")</f>
        <v>Clean</v>
      </c>
      <c r="J258" s="15" t="b">
        <v>0</v>
      </c>
      <c r="K258" s="15" t="str">
        <f t="shared" ref="K258:K321" si="22">IF(L258&gt;=0.7,"Very Danceable",
IF( L258&gt;=0.4,"Moderate","Low"))</f>
        <v>Low</v>
      </c>
      <c r="L258" s="15">
        <v>0.36299999999999999</v>
      </c>
      <c r="M258" s="15" t="str">
        <f t="shared" ref="M258:M321" si="23">IF( N258&gt;=0.7,"High Energy",
IF( N258&gt;=0.4,"Medium Energy","Low Energy"))</f>
        <v>High Energy</v>
      </c>
      <c r="N258" s="15">
        <v>0.81899999999999995</v>
      </c>
      <c r="O258" s="15">
        <v>7</v>
      </c>
      <c r="P258" s="15">
        <v>-3.1280000000000001</v>
      </c>
      <c r="Q258" s="15">
        <v>1</v>
      </c>
      <c r="R258" s="15">
        <v>6.3399999999999998E-2</v>
      </c>
      <c r="S258" s="15">
        <v>5.91E-2</v>
      </c>
      <c r="T258" s="15">
        <v>0</v>
      </c>
      <c r="U258" s="15">
        <v>9.8799999999999999E-2</v>
      </c>
      <c r="V258" s="15">
        <v>0.46800000000000003</v>
      </c>
      <c r="W258" s="15">
        <v>122.527</v>
      </c>
      <c r="X258" s="15">
        <v>4</v>
      </c>
      <c r="Y258" s="16" t="s">
        <v>4</v>
      </c>
    </row>
    <row r="259" spans="1:25" x14ac:dyDescent="0.3">
      <c r="A259" s="17" t="s">
        <v>780</v>
      </c>
      <c r="B259" s="18" t="s">
        <v>781</v>
      </c>
      <c r="C259" s="18" t="s">
        <v>782</v>
      </c>
      <c r="D259" s="18" t="s">
        <v>782</v>
      </c>
      <c r="E259" s="18" t="str">
        <f t="shared" si="19"/>
        <v>Average</v>
      </c>
      <c r="F259" s="18">
        <v>54</v>
      </c>
      <c r="G259" s="30">
        <f t="shared" si="20"/>
        <v>33.584666666666664</v>
      </c>
      <c r="H259" s="18">
        <v>201508</v>
      </c>
      <c r="I259" s="18" t="str">
        <f t="shared" si="21"/>
        <v>Clean</v>
      </c>
      <c r="J259" s="18" t="b">
        <v>0</v>
      </c>
      <c r="K259" s="18" t="str">
        <f t="shared" si="22"/>
        <v>Moderate</v>
      </c>
      <c r="L259" s="18">
        <v>0.47299999999999998</v>
      </c>
      <c r="M259" s="18" t="str">
        <f t="shared" si="23"/>
        <v>Low Energy</v>
      </c>
      <c r="N259" s="18">
        <v>0.26300000000000001</v>
      </c>
      <c r="O259" s="18">
        <v>9</v>
      </c>
      <c r="P259" s="18">
        <v>-8.609</v>
      </c>
      <c r="Q259" s="18">
        <v>1</v>
      </c>
      <c r="R259" s="18">
        <v>3.3000000000000002E-2</v>
      </c>
      <c r="S259" s="18">
        <v>0.81399999999999995</v>
      </c>
      <c r="T259" s="18">
        <v>0</v>
      </c>
      <c r="U259" s="18">
        <v>0.14199999999999999</v>
      </c>
      <c r="V259" s="18">
        <v>0.315</v>
      </c>
      <c r="W259" s="18">
        <v>87.144999999999996</v>
      </c>
      <c r="X259" s="18">
        <v>4</v>
      </c>
      <c r="Y259" s="19" t="s">
        <v>4</v>
      </c>
    </row>
    <row r="260" spans="1:25" x14ac:dyDescent="0.3">
      <c r="A260" s="14" t="s">
        <v>783</v>
      </c>
      <c r="B260" s="15" t="s">
        <v>40</v>
      </c>
      <c r="C260" s="15" t="s">
        <v>784</v>
      </c>
      <c r="D260" s="15" t="s">
        <v>784</v>
      </c>
      <c r="E260" s="15" t="str">
        <f t="shared" si="19"/>
        <v>Popular</v>
      </c>
      <c r="F260" s="15">
        <v>73</v>
      </c>
      <c r="G260" s="30">
        <f t="shared" si="20"/>
        <v>40.18866666666667</v>
      </c>
      <c r="H260" s="15">
        <v>241132</v>
      </c>
      <c r="I260" s="15" t="str">
        <f t="shared" si="21"/>
        <v>Clean</v>
      </c>
      <c r="J260" s="15" t="b">
        <v>0</v>
      </c>
      <c r="K260" s="15" t="str">
        <f t="shared" si="22"/>
        <v>Moderate</v>
      </c>
      <c r="L260" s="15">
        <v>0.67600000000000005</v>
      </c>
      <c r="M260" s="15" t="str">
        <f t="shared" si="23"/>
        <v>High Energy</v>
      </c>
      <c r="N260" s="15">
        <v>0.76800000000000002</v>
      </c>
      <c r="O260" s="15">
        <v>5</v>
      </c>
      <c r="P260" s="15">
        <v>-5.6950000000000003</v>
      </c>
      <c r="Q260" s="15">
        <v>0</v>
      </c>
      <c r="R260" s="15">
        <v>2.9399999999999999E-2</v>
      </c>
      <c r="S260" s="15">
        <v>0.14899999999999999</v>
      </c>
      <c r="T260" s="15">
        <v>1.47E-3</v>
      </c>
      <c r="U260" s="15">
        <v>0.34499999999999997</v>
      </c>
      <c r="V260" s="15">
        <v>0.49299999999999999</v>
      </c>
      <c r="W260" s="15">
        <v>105.999</v>
      </c>
      <c r="X260" s="15">
        <v>4</v>
      </c>
      <c r="Y260" s="16" t="s">
        <v>4</v>
      </c>
    </row>
    <row r="261" spans="1:25" x14ac:dyDescent="0.3">
      <c r="A261" s="17" t="s">
        <v>785</v>
      </c>
      <c r="B261" s="18" t="s">
        <v>319</v>
      </c>
      <c r="C261" s="18" t="s">
        <v>77</v>
      </c>
      <c r="D261" s="18" t="s">
        <v>786</v>
      </c>
      <c r="E261" s="18" t="str">
        <f t="shared" si="19"/>
        <v>Average</v>
      </c>
      <c r="F261" s="18">
        <v>56</v>
      </c>
      <c r="G261" s="30">
        <f t="shared" si="20"/>
        <v>43.951666666666668</v>
      </c>
      <c r="H261" s="18">
        <v>263710</v>
      </c>
      <c r="I261" s="18" t="str">
        <f t="shared" si="21"/>
        <v>Clean</v>
      </c>
      <c r="J261" s="18" t="b">
        <v>0</v>
      </c>
      <c r="K261" s="18" t="str">
        <f t="shared" si="22"/>
        <v>Moderate</v>
      </c>
      <c r="L261" s="18">
        <v>0.41</v>
      </c>
      <c r="M261" s="18" t="str">
        <f t="shared" si="23"/>
        <v>Low Energy</v>
      </c>
      <c r="N261" s="18">
        <v>0.221</v>
      </c>
      <c r="O261" s="18">
        <v>5</v>
      </c>
      <c r="P261" s="18">
        <v>-11.673</v>
      </c>
      <c r="Q261" s="18">
        <v>1</v>
      </c>
      <c r="R261" s="18">
        <v>3.15E-2</v>
      </c>
      <c r="S261" s="18">
        <v>0.76800000000000002</v>
      </c>
      <c r="T261" s="18">
        <v>0</v>
      </c>
      <c r="U261" s="18">
        <v>0.106</v>
      </c>
      <c r="V261" s="18">
        <v>0.22800000000000001</v>
      </c>
      <c r="W261" s="18">
        <v>139.529</v>
      </c>
      <c r="X261" s="18">
        <v>3</v>
      </c>
      <c r="Y261" s="19" t="s">
        <v>4</v>
      </c>
    </row>
    <row r="262" spans="1:25" x14ac:dyDescent="0.3">
      <c r="A262" s="14" t="s">
        <v>787</v>
      </c>
      <c r="B262" s="15" t="s">
        <v>617</v>
      </c>
      <c r="C262" s="15" t="s">
        <v>788</v>
      </c>
      <c r="D262" s="15" t="s">
        <v>788</v>
      </c>
      <c r="E262" s="15" t="str">
        <f t="shared" si="19"/>
        <v>Average</v>
      </c>
      <c r="F262" s="15">
        <v>56</v>
      </c>
      <c r="G262" s="30">
        <f t="shared" si="20"/>
        <v>41.057499999999997</v>
      </c>
      <c r="H262" s="15">
        <v>246345</v>
      </c>
      <c r="I262" s="15" t="str">
        <f t="shared" si="21"/>
        <v>Clean</v>
      </c>
      <c r="J262" s="15" t="b">
        <v>0</v>
      </c>
      <c r="K262" s="15" t="str">
        <f t="shared" si="22"/>
        <v>Moderate</v>
      </c>
      <c r="L262" s="15">
        <v>0.439</v>
      </c>
      <c r="M262" s="15" t="str">
        <f t="shared" si="23"/>
        <v>Low Energy</v>
      </c>
      <c r="N262" s="15">
        <v>0.217</v>
      </c>
      <c r="O262" s="15">
        <v>2</v>
      </c>
      <c r="P262" s="15">
        <v>-13.166</v>
      </c>
      <c r="Q262" s="15">
        <v>1</v>
      </c>
      <c r="R262" s="15">
        <v>4.1300000000000003E-2</v>
      </c>
      <c r="S262" s="15">
        <v>0.93300000000000005</v>
      </c>
      <c r="T262" s="15">
        <v>0</v>
      </c>
      <c r="U262" s="15">
        <v>0.126</v>
      </c>
      <c r="V262" s="15">
        <v>0.373</v>
      </c>
      <c r="W262" s="15">
        <v>144.41300000000001</v>
      </c>
      <c r="X262" s="15">
        <v>4</v>
      </c>
      <c r="Y262" s="16" t="s">
        <v>4</v>
      </c>
    </row>
    <row r="263" spans="1:25" x14ac:dyDescent="0.3">
      <c r="A263" s="17" t="s">
        <v>789</v>
      </c>
      <c r="B263" s="18" t="s">
        <v>30</v>
      </c>
      <c r="C263" s="18" t="s">
        <v>790</v>
      </c>
      <c r="D263" s="18" t="s">
        <v>791</v>
      </c>
      <c r="E263" s="18" t="str">
        <f t="shared" si="19"/>
        <v>Average</v>
      </c>
      <c r="F263" s="18">
        <v>59</v>
      </c>
      <c r="G263" s="30">
        <f t="shared" si="20"/>
        <v>42.862166666666667</v>
      </c>
      <c r="H263" s="18">
        <v>257173</v>
      </c>
      <c r="I263" s="18" t="str">
        <f t="shared" si="21"/>
        <v>Clean</v>
      </c>
      <c r="J263" s="18" t="b">
        <v>0</v>
      </c>
      <c r="K263" s="18" t="str">
        <f t="shared" si="22"/>
        <v>Moderate</v>
      </c>
      <c r="L263" s="18">
        <v>0.58199999999999996</v>
      </c>
      <c r="M263" s="18" t="str">
        <f t="shared" si="23"/>
        <v>Low Energy</v>
      </c>
      <c r="N263" s="18">
        <v>0.34699999999999998</v>
      </c>
      <c r="O263" s="18">
        <v>7</v>
      </c>
      <c r="P263" s="18">
        <v>-14.769</v>
      </c>
      <c r="Q263" s="18">
        <v>1</v>
      </c>
      <c r="R263" s="18">
        <v>3.0499999999999999E-2</v>
      </c>
      <c r="S263" s="18">
        <v>0.317</v>
      </c>
      <c r="T263" s="18">
        <v>6.7799999999999996E-3</v>
      </c>
      <c r="U263" s="18">
        <v>0.111</v>
      </c>
      <c r="V263" s="18">
        <v>7.9699999999999993E-2</v>
      </c>
      <c r="W263" s="18">
        <v>97.956999999999994</v>
      </c>
      <c r="X263" s="18">
        <v>4</v>
      </c>
      <c r="Y263" s="19" t="s">
        <v>4</v>
      </c>
    </row>
    <row r="264" spans="1:25" x14ac:dyDescent="0.3">
      <c r="A264" s="14" t="s">
        <v>792</v>
      </c>
      <c r="B264" s="15" t="s">
        <v>793</v>
      </c>
      <c r="C264" s="15" t="s">
        <v>794</v>
      </c>
      <c r="D264" s="15" t="s">
        <v>795</v>
      </c>
      <c r="E264" s="15" t="str">
        <f t="shared" si="19"/>
        <v>Average</v>
      </c>
      <c r="F264" s="15">
        <v>57</v>
      </c>
      <c r="G264" s="30">
        <f t="shared" si="20"/>
        <v>26.501999999999999</v>
      </c>
      <c r="H264" s="15">
        <v>159012</v>
      </c>
      <c r="I264" s="15" t="str">
        <f t="shared" si="21"/>
        <v>Clean</v>
      </c>
      <c r="J264" s="15" t="b">
        <v>0</v>
      </c>
      <c r="K264" s="15" t="str">
        <f t="shared" si="22"/>
        <v>Moderate</v>
      </c>
      <c r="L264" s="15">
        <v>0.42599999999999999</v>
      </c>
      <c r="M264" s="15" t="str">
        <f t="shared" si="23"/>
        <v>Low Energy</v>
      </c>
      <c r="N264" s="15">
        <v>0.127</v>
      </c>
      <c r="O264" s="15">
        <v>6</v>
      </c>
      <c r="P264" s="15">
        <v>-13.287000000000001</v>
      </c>
      <c r="Q264" s="15">
        <v>1</v>
      </c>
      <c r="R264" s="15">
        <v>6.4799999999999996E-2</v>
      </c>
      <c r="S264" s="15">
        <v>0.86299999999999999</v>
      </c>
      <c r="T264" s="20" t="s">
        <v>796</v>
      </c>
      <c r="U264" s="15">
        <v>9.9299999999999999E-2</v>
      </c>
      <c r="V264" s="15">
        <v>0.14899999999999999</v>
      </c>
      <c r="W264" s="15">
        <v>62.534999999999997</v>
      </c>
      <c r="X264" s="15">
        <v>5</v>
      </c>
      <c r="Y264" s="16" t="s">
        <v>4</v>
      </c>
    </row>
    <row r="265" spans="1:25" x14ac:dyDescent="0.3">
      <c r="A265" s="17" t="s">
        <v>797</v>
      </c>
      <c r="B265" s="18" t="s">
        <v>210</v>
      </c>
      <c r="C265" s="18" t="s">
        <v>798</v>
      </c>
      <c r="D265" s="18" t="s">
        <v>798</v>
      </c>
      <c r="E265" s="18" t="str">
        <f t="shared" si="19"/>
        <v>Average</v>
      </c>
      <c r="F265" s="18">
        <v>56</v>
      </c>
      <c r="G265" s="30">
        <f t="shared" si="20"/>
        <v>29.757666666666665</v>
      </c>
      <c r="H265" s="18">
        <v>178546</v>
      </c>
      <c r="I265" s="18" t="str">
        <f t="shared" si="21"/>
        <v>Clean</v>
      </c>
      <c r="J265" s="18" t="b">
        <v>0</v>
      </c>
      <c r="K265" s="18" t="str">
        <f t="shared" si="22"/>
        <v>Moderate</v>
      </c>
      <c r="L265" s="18">
        <v>0.69599999999999995</v>
      </c>
      <c r="M265" s="18" t="str">
        <f t="shared" si="23"/>
        <v>Low Energy</v>
      </c>
      <c r="N265" s="18">
        <v>0.26100000000000001</v>
      </c>
      <c r="O265" s="18">
        <v>9</v>
      </c>
      <c r="P265" s="18">
        <v>-12.106999999999999</v>
      </c>
      <c r="Q265" s="18">
        <v>0</v>
      </c>
      <c r="R265" s="18">
        <v>3.61E-2</v>
      </c>
      <c r="S265" s="18">
        <v>0.73699999999999999</v>
      </c>
      <c r="T265" s="21" t="s">
        <v>799</v>
      </c>
      <c r="U265" s="18">
        <v>0.11</v>
      </c>
      <c r="V265" s="18">
        <v>0.36099999999999999</v>
      </c>
      <c r="W265" s="18">
        <v>136.053</v>
      </c>
      <c r="X265" s="18">
        <v>3</v>
      </c>
      <c r="Y265" s="19" t="s">
        <v>4</v>
      </c>
    </row>
    <row r="266" spans="1:25" x14ac:dyDescent="0.3">
      <c r="A266" s="14" t="s">
        <v>800</v>
      </c>
      <c r="B266" s="15" t="s">
        <v>801</v>
      </c>
      <c r="C266" s="15" t="s">
        <v>802</v>
      </c>
      <c r="D266" s="15" t="s">
        <v>803</v>
      </c>
      <c r="E266" s="15" t="str">
        <f t="shared" si="19"/>
        <v>Average</v>
      </c>
      <c r="F266" s="15">
        <v>57</v>
      </c>
      <c r="G266" s="30">
        <f t="shared" si="20"/>
        <v>44.8</v>
      </c>
      <c r="H266" s="15">
        <v>268800</v>
      </c>
      <c r="I266" s="15" t="str">
        <f t="shared" si="21"/>
        <v>Clean</v>
      </c>
      <c r="J266" s="15" t="b">
        <v>0</v>
      </c>
      <c r="K266" s="15" t="str">
        <f t="shared" si="22"/>
        <v>Moderate</v>
      </c>
      <c r="L266" s="15">
        <v>0.54900000000000004</v>
      </c>
      <c r="M266" s="15" t="str">
        <f t="shared" si="23"/>
        <v>Low Energy</v>
      </c>
      <c r="N266" s="15">
        <v>0.24</v>
      </c>
      <c r="O266" s="15">
        <v>0</v>
      </c>
      <c r="P266" s="15">
        <v>-7.7779999999999996</v>
      </c>
      <c r="Q266" s="15">
        <v>1</v>
      </c>
      <c r="R266" s="15">
        <v>3.3799999999999997E-2</v>
      </c>
      <c r="S266" s="15">
        <v>0.94699999999999995</v>
      </c>
      <c r="T266" s="15">
        <v>0</v>
      </c>
      <c r="U266" s="15">
        <v>0.106</v>
      </c>
      <c r="V266" s="15">
        <v>0.16700000000000001</v>
      </c>
      <c r="W266" s="15">
        <v>119.58</v>
      </c>
      <c r="X266" s="15">
        <v>4</v>
      </c>
      <c r="Y266" s="16" t="s">
        <v>4</v>
      </c>
    </row>
    <row r="267" spans="1:25" x14ac:dyDescent="0.3">
      <c r="A267" s="17" t="s">
        <v>804</v>
      </c>
      <c r="B267" s="18" t="s">
        <v>805</v>
      </c>
      <c r="C267" s="18" t="s">
        <v>806</v>
      </c>
      <c r="D267" s="18" t="s">
        <v>806</v>
      </c>
      <c r="E267" s="18" t="str">
        <f t="shared" si="19"/>
        <v>Average</v>
      </c>
      <c r="F267" s="18">
        <v>51</v>
      </c>
      <c r="G267" s="30">
        <f t="shared" si="20"/>
        <v>32.975000000000001</v>
      </c>
      <c r="H267" s="18">
        <v>197850</v>
      </c>
      <c r="I267" s="18" t="str">
        <f t="shared" si="21"/>
        <v>Clean</v>
      </c>
      <c r="J267" s="18" t="b">
        <v>0</v>
      </c>
      <c r="K267" s="18" t="str">
        <f t="shared" si="22"/>
        <v>Moderate</v>
      </c>
      <c r="L267" s="18">
        <v>0.54100000000000004</v>
      </c>
      <c r="M267" s="18" t="str">
        <f t="shared" si="23"/>
        <v>Low Energy</v>
      </c>
      <c r="N267" s="18">
        <v>0.192</v>
      </c>
      <c r="O267" s="18">
        <v>0</v>
      </c>
      <c r="P267" s="18">
        <v>-13.994999999999999</v>
      </c>
      <c r="Q267" s="18">
        <v>0</v>
      </c>
      <c r="R267" s="18">
        <v>2.8199999999999999E-2</v>
      </c>
      <c r="S267" s="18">
        <v>0.89300000000000002</v>
      </c>
      <c r="T267" s="18">
        <v>0</v>
      </c>
      <c r="U267" s="18">
        <v>0.193</v>
      </c>
      <c r="V267" s="18">
        <v>0.317</v>
      </c>
      <c r="W267" s="18">
        <v>139.93799999999999</v>
      </c>
      <c r="X267" s="18">
        <v>4</v>
      </c>
      <c r="Y267" s="19" t="s">
        <v>4</v>
      </c>
    </row>
    <row r="268" spans="1:25" x14ac:dyDescent="0.3">
      <c r="A268" s="14" t="s">
        <v>807</v>
      </c>
      <c r="B268" s="15" t="s">
        <v>411</v>
      </c>
      <c r="C268" s="15" t="s">
        <v>411</v>
      </c>
      <c r="D268" s="15" t="s">
        <v>808</v>
      </c>
      <c r="E268" s="15" t="str">
        <f t="shared" si="19"/>
        <v>Average</v>
      </c>
      <c r="F268" s="15">
        <v>48</v>
      </c>
      <c r="G268" s="30">
        <f t="shared" si="20"/>
        <v>37.06666666666667</v>
      </c>
      <c r="H268" s="15">
        <v>222400</v>
      </c>
      <c r="I268" s="15" t="str">
        <f t="shared" si="21"/>
        <v>Clean</v>
      </c>
      <c r="J268" s="15" t="b">
        <v>0</v>
      </c>
      <c r="K268" s="15" t="str">
        <f t="shared" si="22"/>
        <v>Moderate</v>
      </c>
      <c r="L268" s="15">
        <v>0.66200000000000003</v>
      </c>
      <c r="M268" s="15" t="str">
        <f t="shared" si="23"/>
        <v>High Energy</v>
      </c>
      <c r="N268" s="15">
        <v>0.71099999999999997</v>
      </c>
      <c r="O268" s="15">
        <v>5</v>
      </c>
      <c r="P268" s="15">
        <v>-4.9240000000000004</v>
      </c>
      <c r="Q268" s="15">
        <v>1</v>
      </c>
      <c r="R268" s="15">
        <v>2.7900000000000001E-2</v>
      </c>
      <c r="S268" s="15">
        <v>6.8599999999999994E-2</v>
      </c>
      <c r="T268" s="20" t="s">
        <v>68</v>
      </c>
      <c r="U268" s="15">
        <v>8.5000000000000006E-2</v>
      </c>
      <c r="V268" s="15">
        <v>0.35199999999999998</v>
      </c>
      <c r="W268" s="15">
        <v>119.989</v>
      </c>
      <c r="X268" s="15">
        <v>4</v>
      </c>
      <c r="Y268" s="16" t="s">
        <v>4</v>
      </c>
    </row>
    <row r="269" spans="1:25" x14ac:dyDescent="0.3">
      <c r="A269" s="17" t="s">
        <v>809</v>
      </c>
      <c r="B269" s="18" t="s">
        <v>14</v>
      </c>
      <c r="C269" s="18" t="s">
        <v>810</v>
      </c>
      <c r="D269" s="18" t="s">
        <v>810</v>
      </c>
      <c r="E269" s="18" t="str">
        <f t="shared" si="19"/>
        <v>Average</v>
      </c>
      <c r="F269" s="18">
        <v>52</v>
      </c>
      <c r="G269" s="30">
        <f t="shared" si="20"/>
        <v>23.729833333333332</v>
      </c>
      <c r="H269" s="18">
        <v>142379</v>
      </c>
      <c r="I269" s="18" t="str">
        <f t="shared" si="21"/>
        <v>Clean</v>
      </c>
      <c r="J269" s="18" t="b">
        <v>0</v>
      </c>
      <c r="K269" s="18" t="str">
        <f t="shared" si="22"/>
        <v>Moderate</v>
      </c>
      <c r="L269" s="18">
        <v>0.66500000000000004</v>
      </c>
      <c r="M269" s="18" t="str">
        <f t="shared" si="23"/>
        <v>Low Energy</v>
      </c>
      <c r="N269" s="18">
        <v>0.185</v>
      </c>
      <c r="O269" s="18">
        <v>1</v>
      </c>
      <c r="P269" s="18">
        <v>-13.852</v>
      </c>
      <c r="Q269" s="18">
        <v>1</v>
      </c>
      <c r="R269" s="18">
        <v>3.8100000000000002E-2</v>
      </c>
      <c r="S269" s="18">
        <v>0.91300000000000003</v>
      </c>
      <c r="T269" s="18">
        <v>0</v>
      </c>
      <c r="U269" s="18">
        <v>0.33400000000000002</v>
      </c>
      <c r="V269" s="18">
        <v>0.45800000000000002</v>
      </c>
      <c r="W269" s="18">
        <v>82.474000000000004</v>
      </c>
      <c r="X269" s="18">
        <v>4</v>
      </c>
      <c r="Y269" s="19" t="s">
        <v>4</v>
      </c>
    </row>
    <row r="270" spans="1:25" x14ac:dyDescent="0.3">
      <c r="A270" s="14" t="s">
        <v>811</v>
      </c>
      <c r="B270" s="15" t="s">
        <v>497</v>
      </c>
      <c r="C270" s="15" t="s">
        <v>812</v>
      </c>
      <c r="D270" s="15" t="s">
        <v>812</v>
      </c>
      <c r="E270" s="15" t="str">
        <f t="shared" si="19"/>
        <v>Average</v>
      </c>
      <c r="F270" s="15">
        <v>54</v>
      </c>
      <c r="G270" s="30">
        <f t="shared" si="20"/>
        <v>32.444499999999998</v>
      </c>
      <c r="H270" s="15">
        <v>194667</v>
      </c>
      <c r="I270" s="15" t="str">
        <f t="shared" si="21"/>
        <v>Clean</v>
      </c>
      <c r="J270" s="15" t="b">
        <v>0</v>
      </c>
      <c r="K270" s="15" t="str">
        <f t="shared" si="22"/>
        <v>Moderate</v>
      </c>
      <c r="L270" s="15">
        <v>0.59099999999999997</v>
      </c>
      <c r="M270" s="15" t="str">
        <f t="shared" si="23"/>
        <v>Low Energy</v>
      </c>
      <c r="N270" s="15">
        <v>0.17499999999999999</v>
      </c>
      <c r="O270" s="15">
        <v>6</v>
      </c>
      <c r="P270" s="15">
        <v>-12.959</v>
      </c>
      <c r="Q270" s="15">
        <v>1</v>
      </c>
      <c r="R270" s="15">
        <v>3.7999999999999999E-2</v>
      </c>
      <c r="S270" s="15">
        <v>0.92700000000000005</v>
      </c>
      <c r="T270" s="15">
        <v>0</v>
      </c>
      <c r="U270" s="15">
        <v>0.13300000000000001</v>
      </c>
      <c r="V270" s="15">
        <v>0.35199999999999998</v>
      </c>
      <c r="W270" s="15">
        <v>139.90199999999999</v>
      </c>
      <c r="X270" s="15">
        <v>4</v>
      </c>
      <c r="Y270" s="16" t="s">
        <v>4</v>
      </c>
    </row>
    <row r="271" spans="1:25" x14ac:dyDescent="0.3">
      <c r="A271" s="17" t="s">
        <v>813</v>
      </c>
      <c r="B271" s="18" t="s">
        <v>205</v>
      </c>
      <c r="C271" s="18" t="s">
        <v>814</v>
      </c>
      <c r="D271" s="18" t="s">
        <v>814</v>
      </c>
      <c r="E271" s="18" t="str">
        <f t="shared" si="19"/>
        <v>Average</v>
      </c>
      <c r="F271" s="18">
        <v>55</v>
      </c>
      <c r="G271" s="30">
        <f t="shared" si="20"/>
        <v>35.4</v>
      </c>
      <c r="H271" s="18">
        <v>212400</v>
      </c>
      <c r="I271" s="18" t="str">
        <f t="shared" si="21"/>
        <v>Clean</v>
      </c>
      <c r="J271" s="18" t="b">
        <v>0</v>
      </c>
      <c r="K271" s="18" t="str">
        <f t="shared" si="22"/>
        <v>Moderate</v>
      </c>
      <c r="L271" s="18">
        <v>0.48899999999999999</v>
      </c>
      <c r="M271" s="18" t="str">
        <f t="shared" si="23"/>
        <v>Low Energy</v>
      </c>
      <c r="N271" s="18">
        <v>0.183</v>
      </c>
      <c r="O271" s="18">
        <v>0</v>
      </c>
      <c r="P271" s="18">
        <v>-14.769</v>
      </c>
      <c r="Q271" s="18">
        <v>1</v>
      </c>
      <c r="R271" s="18">
        <v>3.3000000000000002E-2</v>
      </c>
      <c r="S271" s="18">
        <v>0.90700000000000003</v>
      </c>
      <c r="T271" s="21" t="s">
        <v>815</v>
      </c>
      <c r="U271" s="18">
        <v>0.106</v>
      </c>
      <c r="V271" s="18">
        <v>0.48599999999999999</v>
      </c>
      <c r="W271" s="18">
        <v>79.960999999999999</v>
      </c>
      <c r="X271" s="18">
        <v>4</v>
      </c>
      <c r="Y271" s="19" t="s">
        <v>4</v>
      </c>
    </row>
    <row r="272" spans="1:25" x14ac:dyDescent="0.3">
      <c r="A272" s="14" t="s">
        <v>816</v>
      </c>
      <c r="B272" s="15" t="s">
        <v>63</v>
      </c>
      <c r="C272" s="15" t="s">
        <v>817</v>
      </c>
      <c r="D272" s="15" t="s">
        <v>817</v>
      </c>
      <c r="E272" s="15" t="str">
        <f t="shared" si="19"/>
        <v>Average</v>
      </c>
      <c r="F272" s="15">
        <v>41</v>
      </c>
      <c r="G272" s="30">
        <f t="shared" si="20"/>
        <v>32.717333333333336</v>
      </c>
      <c r="H272" s="15">
        <v>196304</v>
      </c>
      <c r="I272" s="15" t="str">
        <f t="shared" si="21"/>
        <v>Clean</v>
      </c>
      <c r="J272" s="15" t="b">
        <v>0</v>
      </c>
      <c r="K272" s="15" t="str">
        <f t="shared" si="22"/>
        <v>Moderate</v>
      </c>
      <c r="L272" s="15">
        <v>0.61799999999999999</v>
      </c>
      <c r="M272" s="15" t="str">
        <f t="shared" si="23"/>
        <v>Low Energy</v>
      </c>
      <c r="N272" s="15">
        <v>8.3000000000000004E-2</v>
      </c>
      <c r="O272" s="15">
        <v>4</v>
      </c>
      <c r="P272" s="15">
        <v>-23.664999999999999</v>
      </c>
      <c r="Q272" s="15">
        <v>1</v>
      </c>
      <c r="R272" s="15">
        <v>5.7000000000000002E-2</v>
      </c>
      <c r="S272" s="15">
        <v>0.745</v>
      </c>
      <c r="T272" s="15">
        <v>1.2300000000000001E-4</v>
      </c>
      <c r="U272" s="15">
        <v>0.14599999999999999</v>
      </c>
      <c r="V272" s="15">
        <v>0.59699999999999998</v>
      </c>
      <c r="W272" s="15">
        <v>90.864999999999995</v>
      </c>
      <c r="X272" s="15">
        <v>4</v>
      </c>
      <c r="Y272" s="16" t="s">
        <v>4</v>
      </c>
    </row>
    <row r="273" spans="1:25" x14ac:dyDescent="0.3">
      <c r="A273" s="17" t="s">
        <v>818</v>
      </c>
      <c r="B273" s="18" t="s">
        <v>319</v>
      </c>
      <c r="C273" s="18" t="s">
        <v>343</v>
      </c>
      <c r="D273" s="18" t="s">
        <v>819</v>
      </c>
      <c r="E273" s="18" t="str">
        <f t="shared" si="19"/>
        <v>Average</v>
      </c>
      <c r="F273" s="18">
        <v>49</v>
      </c>
      <c r="G273" s="30">
        <f t="shared" si="20"/>
        <v>38.478000000000002</v>
      </c>
      <c r="H273" s="18">
        <v>230868</v>
      </c>
      <c r="I273" s="18" t="str">
        <f t="shared" si="21"/>
        <v>Clean</v>
      </c>
      <c r="J273" s="18" t="b">
        <v>0</v>
      </c>
      <c r="K273" s="18" t="str">
        <f t="shared" si="22"/>
        <v>Moderate</v>
      </c>
      <c r="L273" s="18">
        <v>0.66400000000000003</v>
      </c>
      <c r="M273" s="18" t="str">
        <f t="shared" si="23"/>
        <v>Low Energy</v>
      </c>
      <c r="N273" s="18">
        <v>0.31900000000000001</v>
      </c>
      <c r="O273" s="18">
        <v>0</v>
      </c>
      <c r="P273" s="18">
        <v>-8.1489999999999991</v>
      </c>
      <c r="Q273" s="18">
        <v>0</v>
      </c>
      <c r="R273" s="18">
        <v>2.7099999999999999E-2</v>
      </c>
      <c r="S273" s="18">
        <v>0.86199999999999999</v>
      </c>
      <c r="T273" s="18">
        <v>0</v>
      </c>
      <c r="U273" s="18">
        <v>0.121</v>
      </c>
      <c r="V273" s="18">
        <v>0.25800000000000001</v>
      </c>
      <c r="W273" s="18">
        <v>105.036</v>
      </c>
      <c r="X273" s="18">
        <v>4</v>
      </c>
      <c r="Y273" s="19" t="s">
        <v>4</v>
      </c>
    </row>
    <row r="274" spans="1:25" x14ac:dyDescent="0.3">
      <c r="A274" s="14" t="s">
        <v>820</v>
      </c>
      <c r="B274" s="15" t="s">
        <v>63</v>
      </c>
      <c r="C274" s="15" t="s">
        <v>821</v>
      </c>
      <c r="D274" s="15" t="s">
        <v>821</v>
      </c>
      <c r="E274" s="15" t="str">
        <f t="shared" si="19"/>
        <v>Low</v>
      </c>
      <c r="F274" s="15">
        <v>37</v>
      </c>
      <c r="G274" s="30">
        <f t="shared" si="20"/>
        <v>31.123000000000001</v>
      </c>
      <c r="H274" s="15">
        <v>186738</v>
      </c>
      <c r="I274" s="15" t="str">
        <f t="shared" si="21"/>
        <v>Clean</v>
      </c>
      <c r="J274" s="15" t="b">
        <v>0</v>
      </c>
      <c r="K274" s="15" t="str">
        <f t="shared" si="22"/>
        <v>Moderate</v>
      </c>
      <c r="L274" s="15">
        <v>0.40799999999999997</v>
      </c>
      <c r="M274" s="15" t="str">
        <f t="shared" si="23"/>
        <v>Low Energy</v>
      </c>
      <c r="N274" s="15">
        <v>0.26600000000000001</v>
      </c>
      <c r="O274" s="15">
        <v>10</v>
      </c>
      <c r="P274" s="15">
        <v>-12.9</v>
      </c>
      <c r="Q274" s="15">
        <v>0</v>
      </c>
      <c r="R274" s="15">
        <v>4.0399999999999998E-2</v>
      </c>
      <c r="S274" s="15">
        <v>0.875</v>
      </c>
      <c r="T274" s="15">
        <v>4.9799999999999996E-4</v>
      </c>
      <c r="U274" s="15">
        <v>0.104</v>
      </c>
      <c r="V274" s="15">
        <v>0.35</v>
      </c>
      <c r="W274" s="15">
        <v>143.65100000000001</v>
      </c>
      <c r="X274" s="15">
        <v>4</v>
      </c>
      <c r="Y274" s="16" t="s">
        <v>4</v>
      </c>
    </row>
    <row r="275" spans="1:25" x14ac:dyDescent="0.3">
      <c r="A275" s="17" t="s">
        <v>822</v>
      </c>
      <c r="B275" s="18" t="s">
        <v>14</v>
      </c>
      <c r="C275" s="18" t="s">
        <v>823</v>
      </c>
      <c r="D275" s="18" t="s">
        <v>823</v>
      </c>
      <c r="E275" s="18" t="str">
        <f t="shared" si="19"/>
        <v>Average</v>
      </c>
      <c r="F275" s="18">
        <v>52</v>
      </c>
      <c r="G275" s="30">
        <f t="shared" si="20"/>
        <v>32.256</v>
      </c>
      <c r="H275" s="18">
        <v>193536</v>
      </c>
      <c r="I275" s="18" t="str">
        <f t="shared" si="21"/>
        <v>Clean</v>
      </c>
      <c r="J275" s="18" t="b">
        <v>0</v>
      </c>
      <c r="K275" s="18" t="str">
        <f t="shared" si="22"/>
        <v>Moderate</v>
      </c>
      <c r="L275" s="18">
        <v>0.623</v>
      </c>
      <c r="M275" s="18" t="str">
        <f t="shared" si="23"/>
        <v>Low Energy</v>
      </c>
      <c r="N275" s="18">
        <v>0.13200000000000001</v>
      </c>
      <c r="O275" s="18">
        <v>0</v>
      </c>
      <c r="P275" s="18">
        <v>-13.667999999999999</v>
      </c>
      <c r="Q275" s="18">
        <v>1</v>
      </c>
      <c r="R275" s="18">
        <v>3.5000000000000003E-2</v>
      </c>
      <c r="S275" s="18">
        <v>0.89300000000000002</v>
      </c>
      <c r="T275" s="18">
        <v>0</v>
      </c>
      <c r="U275" s="18">
        <v>0.217</v>
      </c>
      <c r="V275" s="18">
        <v>0.26600000000000001</v>
      </c>
      <c r="W275" s="18">
        <v>82.105000000000004</v>
      </c>
      <c r="X275" s="18">
        <v>4</v>
      </c>
      <c r="Y275" s="19" t="s">
        <v>4</v>
      </c>
    </row>
    <row r="276" spans="1:25" x14ac:dyDescent="0.3">
      <c r="A276" s="14" t="s">
        <v>824</v>
      </c>
      <c r="B276" s="15" t="s">
        <v>805</v>
      </c>
      <c r="C276" s="15" t="s">
        <v>825</v>
      </c>
      <c r="D276" s="15" t="s">
        <v>825</v>
      </c>
      <c r="E276" s="15" t="str">
        <f t="shared" si="19"/>
        <v>Average</v>
      </c>
      <c r="F276" s="15">
        <v>58</v>
      </c>
      <c r="G276" s="30">
        <f t="shared" si="20"/>
        <v>32.803166666666669</v>
      </c>
      <c r="H276" s="15">
        <v>196819</v>
      </c>
      <c r="I276" s="15" t="str">
        <f t="shared" si="21"/>
        <v>Clean</v>
      </c>
      <c r="J276" s="15" t="b">
        <v>0</v>
      </c>
      <c r="K276" s="15" t="str">
        <f t="shared" si="22"/>
        <v>Moderate</v>
      </c>
      <c r="L276" s="15">
        <v>0.49399999999999999</v>
      </c>
      <c r="M276" s="15" t="str">
        <f t="shared" si="23"/>
        <v>Low Energy</v>
      </c>
      <c r="N276" s="15">
        <v>0.214</v>
      </c>
      <c r="O276" s="15">
        <v>7</v>
      </c>
      <c r="P276" s="15">
        <v>-11.041</v>
      </c>
      <c r="Q276" s="15">
        <v>1</v>
      </c>
      <c r="R276" s="15">
        <v>3.6299999999999999E-2</v>
      </c>
      <c r="S276" s="15">
        <v>0.92</v>
      </c>
      <c r="T276" s="20" t="s">
        <v>409</v>
      </c>
      <c r="U276" s="15">
        <v>0.107</v>
      </c>
      <c r="V276" s="15">
        <v>0.35</v>
      </c>
      <c r="W276" s="15">
        <v>125.98099999999999</v>
      </c>
      <c r="X276" s="15">
        <v>3</v>
      </c>
      <c r="Y276" s="16" t="s">
        <v>4</v>
      </c>
    </row>
    <row r="277" spans="1:25" x14ac:dyDescent="0.3">
      <c r="A277" s="17" t="s">
        <v>826</v>
      </c>
      <c r="B277" s="18" t="s">
        <v>827</v>
      </c>
      <c r="C277" s="18" t="s">
        <v>828</v>
      </c>
      <c r="D277" s="18" t="s">
        <v>829</v>
      </c>
      <c r="E277" s="18" t="str">
        <f t="shared" si="19"/>
        <v>Average</v>
      </c>
      <c r="F277" s="18">
        <v>48</v>
      </c>
      <c r="G277" s="30">
        <f t="shared" si="20"/>
        <v>33.573333333333331</v>
      </c>
      <c r="H277" s="18">
        <v>201440</v>
      </c>
      <c r="I277" s="18" t="str">
        <f t="shared" si="21"/>
        <v>Clean</v>
      </c>
      <c r="J277" s="18" t="b">
        <v>0</v>
      </c>
      <c r="K277" s="18" t="str">
        <f t="shared" si="22"/>
        <v>Low</v>
      </c>
      <c r="L277" s="18">
        <v>0.374</v>
      </c>
      <c r="M277" s="18" t="str">
        <f t="shared" si="23"/>
        <v>Low Energy</v>
      </c>
      <c r="N277" s="18">
        <v>0.183</v>
      </c>
      <c r="O277" s="18">
        <v>9</v>
      </c>
      <c r="P277" s="18">
        <v>-13.225</v>
      </c>
      <c r="Q277" s="18">
        <v>1</v>
      </c>
      <c r="R277" s="18">
        <v>2.81E-2</v>
      </c>
      <c r="S277" s="18">
        <v>0.89700000000000002</v>
      </c>
      <c r="T277" s="18">
        <v>3.8699999999999998E-2</v>
      </c>
      <c r="U277" s="18">
        <v>0.109</v>
      </c>
      <c r="V277" s="18">
        <v>0.13400000000000001</v>
      </c>
      <c r="W277" s="18">
        <v>82.042000000000002</v>
      </c>
      <c r="X277" s="18">
        <v>4</v>
      </c>
      <c r="Y277" s="19" t="s">
        <v>4</v>
      </c>
    </row>
    <row r="278" spans="1:25" x14ac:dyDescent="0.3">
      <c r="A278" s="14" t="s">
        <v>830</v>
      </c>
      <c r="B278" s="15" t="s">
        <v>571</v>
      </c>
      <c r="C278" s="15" t="s">
        <v>831</v>
      </c>
      <c r="D278" s="15" t="s">
        <v>831</v>
      </c>
      <c r="E278" s="15" t="str">
        <f t="shared" si="19"/>
        <v>Average</v>
      </c>
      <c r="F278" s="15">
        <v>56</v>
      </c>
      <c r="G278" s="30">
        <f t="shared" si="20"/>
        <v>34.166333333333334</v>
      </c>
      <c r="H278" s="15">
        <v>204998</v>
      </c>
      <c r="I278" s="15" t="str">
        <f t="shared" si="21"/>
        <v>Clean</v>
      </c>
      <c r="J278" s="15" t="b">
        <v>0</v>
      </c>
      <c r="K278" s="15" t="str">
        <f t="shared" si="22"/>
        <v>Moderate</v>
      </c>
      <c r="L278" s="15">
        <v>0.55900000000000005</v>
      </c>
      <c r="M278" s="15" t="str">
        <f t="shared" si="23"/>
        <v>Medium Energy</v>
      </c>
      <c r="N278" s="15">
        <v>0.45500000000000002</v>
      </c>
      <c r="O278" s="15">
        <v>5</v>
      </c>
      <c r="P278" s="15">
        <v>-8.9369999999999994</v>
      </c>
      <c r="Q278" s="15">
        <v>1</v>
      </c>
      <c r="R278" s="15">
        <v>3.0599999999999999E-2</v>
      </c>
      <c r="S278" s="15">
        <v>0.42099999999999999</v>
      </c>
      <c r="T278" s="20" t="s">
        <v>832</v>
      </c>
      <c r="U278" s="15">
        <v>0.10299999999999999</v>
      </c>
      <c r="V278" s="15">
        <v>0.39600000000000002</v>
      </c>
      <c r="W278" s="15">
        <v>159.98500000000001</v>
      </c>
      <c r="X278" s="15">
        <v>4</v>
      </c>
      <c r="Y278" s="16" t="s">
        <v>4</v>
      </c>
    </row>
    <row r="279" spans="1:25" x14ac:dyDescent="0.3">
      <c r="A279" s="17" t="s">
        <v>833</v>
      </c>
      <c r="B279" s="18" t="s">
        <v>834</v>
      </c>
      <c r="C279" s="18" t="s">
        <v>835</v>
      </c>
      <c r="D279" s="18" t="s">
        <v>835</v>
      </c>
      <c r="E279" s="18" t="str">
        <f t="shared" si="19"/>
        <v>Average</v>
      </c>
      <c r="F279" s="18">
        <v>46</v>
      </c>
      <c r="G279" s="30">
        <f t="shared" si="20"/>
        <v>36.515500000000003</v>
      </c>
      <c r="H279" s="18">
        <v>219093</v>
      </c>
      <c r="I279" s="18" t="str">
        <f t="shared" si="21"/>
        <v>Clean</v>
      </c>
      <c r="J279" s="18" t="b">
        <v>0</v>
      </c>
      <c r="K279" s="18" t="str">
        <f t="shared" si="22"/>
        <v>Moderate</v>
      </c>
      <c r="L279" s="18">
        <v>0.64200000000000002</v>
      </c>
      <c r="M279" s="18" t="str">
        <f t="shared" si="23"/>
        <v>Medium Energy</v>
      </c>
      <c r="N279" s="18">
        <v>0.40799999999999997</v>
      </c>
      <c r="O279" s="18">
        <v>10</v>
      </c>
      <c r="P279" s="18">
        <v>-8.1679999999999993</v>
      </c>
      <c r="Q279" s="18">
        <v>1</v>
      </c>
      <c r="R279" s="18">
        <v>3.9600000000000003E-2</v>
      </c>
      <c r="S279" s="18">
        <v>0.72899999999999998</v>
      </c>
      <c r="T279" s="18">
        <v>0</v>
      </c>
      <c r="U279" s="18">
        <v>0.185</v>
      </c>
      <c r="V279" s="18">
        <v>0.41099999999999998</v>
      </c>
      <c r="W279" s="18">
        <v>119.81</v>
      </c>
      <c r="X279" s="18">
        <v>4</v>
      </c>
      <c r="Y279" s="19" t="s">
        <v>4</v>
      </c>
    </row>
    <row r="280" spans="1:25" x14ac:dyDescent="0.3">
      <c r="A280" s="14" t="s">
        <v>836</v>
      </c>
      <c r="B280" s="15" t="s">
        <v>837</v>
      </c>
      <c r="C280" s="15" t="s">
        <v>838</v>
      </c>
      <c r="D280" s="15" t="s">
        <v>838</v>
      </c>
      <c r="E280" s="15" t="str">
        <f t="shared" si="19"/>
        <v>Average</v>
      </c>
      <c r="F280" s="15">
        <v>55</v>
      </c>
      <c r="G280" s="30">
        <f t="shared" si="20"/>
        <v>28.633333333333333</v>
      </c>
      <c r="H280" s="15">
        <v>171800</v>
      </c>
      <c r="I280" s="15" t="str">
        <f t="shared" si="21"/>
        <v>Clean</v>
      </c>
      <c r="J280" s="15" t="b">
        <v>0</v>
      </c>
      <c r="K280" s="15" t="str">
        <f t="shared" si="22"/>
        <v>Moderate</v>
      </c>
      <c r="L280" s="15">
        <v>0.48</v>
      </c>
      <c r="M280" s="15" t="str">
        <f t="shared" si="23"/>
        <v>Medium Energy</v>
      </c>
      <c r="N280" s="15">
        <v>0.61799999999999999</v>
      </c>
      <c r="O280" s="15">
        <v>2</v>
      </c>
      <c r="P280" s="15">
        <v>-7.335</v>
      </c>
      <c r="Q280" s="15">
        <v>1</v>
      </c>
      <c r="R280" s="15">
        <v>5.0099999999999999E-2</v>
      </c>
      <c r="S280" s="15">
        <v>0.84399999999999997</v>
      </c>
      <c r="T280" s="20" t="s">
        <v>839</v>
      </c>
      <c r="U280" s="15">
        <v>0.32500000000000001</v>
      </c>
      <c r="V280" s="15">
        <v>0.34399999999999997</v>
      </c>
      <c r="W280" s="15">
        <v>82.051000000000002</v>
      </c>
      <c r="X280" s="15">
        <v>4</v>
      </c>
      <c r="Y280" s="16" t="s">
        <v>4</v>
      </c>
    </row>
    <row r="281" spans="1:25" x14ac:dyDescent="0.3">
      <c r="A281" s="17" t="s">
        <v>840</v>
      </c>
      <c r="B281" s="18" t="s">
        <v>14</v>
      </c>
      <c r="C281" s="18" t="s">
        <v>841</v>
      </c>
      <c r="D281" s="18" t="s">
        <v>842</v>
      </c>
      <c r="E281" s="18" t="str">
        <f t="shared" si="19"/>
        <v>Average</v>
      </c>
      <c r="F281" s="18">
        <v>54</v>
      </c>
      <c r="G281" s="30">
        <f t="shared" si="20"/>
        <v>35.270666666666664</v>
      </c>
      <c r="H281" s="18">
        <v>211624</v>
      </c>
      <c r="I281" s="18" t="str">
        <f t="shared" si="21"/>
        <v>Clean</v>
      </c>
      <c r="J281" s="18" t="b">
        <v>0</v>
      </c>
      <c r="K281" s="18" t="str">
        <f t="shared" si="22"/>
        <v>Low</v>
      </c>
      <c r="L281" s="18">
        <v>0.27100000000000002</v>
      </c>
      <c r="M281" s="18" t="str">
        <f t="shared" si="23"/>
        <v>Low Energy</v>
      </c>
      <c r="N281" s="18">
        <v>9.3700000000000006E-2</v>
      </c>
      <c r="O281" s="18">
        <v>0</v>
      </c>
      <c r="P281" s="18">
        <v>-15.035</v>
      </c>
      <c r="Q281" s="18">
        <v>1</v>
      </c>
      <c r="R281" s="18">
        <v>3.6700000000000003E-2</v>
      </c>
      <c r="S281" s="18">
        <v>0.93899999999999995</v>
      </c>
      <c r="T281" s="18">
        <v>0</v>
      </c>
      <c r="U281" s="18">
        <v>0.108</v>
      </c>
      <c r="V281" s="18">
        <v>0.14699999999999999</v>
      </c>
      <c r="W281" s="18">
        <v>164.721</v>
      </c>
      <c r="X281" s="18">
        <v>5</v>
      </c>
      <c r="Y281" s="19" t="s">
        <v>4</v>
      </c>
    </row>
    <row r="282" spans="1:25" x14ac:dyDescent="0.3">
      <c r="A282" s="14" t="s">
        <v>843</v>
      </c>
      <c r="B282" s="15" t="s">
        <v>844</v>
      </c>
      <c r="C282" s="15" t="s">
        <v>844</v>
      </c>
      <c r="D282" s="15" t="s">
        <v>845</v>
      </c>
      <c r="E282" s="15" t="str">
        <f t="shared" si="19"/>
        <v>Average</v>
      </c>
      <c r="F282" s="15">
        <v>57</v>
      </c>
      <c r="G282" s="30">
        <f t="shared" si="20"/>
        <v>32.706666666666663</v>
      </c>
      <c r="H282" s="15">
        <v>196240</v>
      </c>
      <c r="I282" s="15" t="str">
        <f t="shared" si="21"/>
        <v>Clean</v>
      </c>
      <c r="J282" s="15" t="b">
        <v>0</v>
      </c>
      <c r="K282" s="15" t="str">
        <f t="shared" si="22"/>
        <v>Moderate</v>
      </c>
      <c r="L282" s="15">
        <v>0.59399999999999997</v>
      </c>
      <c r="M282" s="15" t="str">
        <f t="shared" si="23"/>
        <v>Medium Energy</v>
      </c>
      <c r="N282" s="15">
        <v>0.69499999999999995</v>
      </c>
      <c r="O282" s="15">
        <v>8</v>
      </c>
      <c r="P282" s="15">
        <v>-8.8719999999999999</v>
      </c>
      <c r="Q282" s="15">
        <v>1</v>
      </c>
      <c r="R282" s="15">
        <v>2.5899999999999999E-2</v>
      </c>
      <c r="S282" s="15">
        <v>0.19</v>
      </c>
      <c r="T282" s="20" t="s">
        <v>846</v>
      </c>
      <c r="U282" s="15">
        <v>0.11899999999999999</v>
      </c>
      <c r="V282" s="15">
        <v>0.17199999999999999</v>
      </c>
      <c r="W282" s="15">
        <v>104.977</v>
      </c>
      <c r="X282" s="15">
        <v>4</v>
      </c>
      <c r="Y282" s="16" t="s">
        <v>4</v>
      </c>
    </row>
    <row r="283" spans="1:25" x14ac:dyDescent="0.3">
      <c r="A283" s="17" t="s">
        <v>847</v>
      </c>
      <c r="B283" s="18" t="s">
        <v>19</v>
      </c>
      <c r="C283" s="18" t="s">
        <v>848</v>
      </c>
      <c r="D283" s="18" t="s">
        <v>848</v>
      </c>
      <c r="E283" s="18" t="str">
        <f t="shared" si="19"/>
        <v>Average</v>
      </c>
      <c r="F283" s="18">
        <v>49</v>
      </c>
      <c r="G283" s="30">
        <f t="shared" si="20"/>
        <v>33.243166666666667</v>
      </c>
      <c r="H283" s="18">
        <v>199459</v>
      </c>
      <c r="I283" s="18" t="str">
        <f t="shared" si="21"/>
        <v>Clean</v>
      </c>
      <c r="J283" s="18" t="b">
        <v>0</v>
      </c>
      <c r="K283" s="18" t="str">
        <f t="shared" si="22"/>
        <v>Moderate</v>
      </c>
      <c r="L283" s="18">
        <v>0.57399999999999995</v>
      </c>
      <c r="M283" s="18" t="str">
        <f t="shared" si="23"/>
        <v>Low Energy</v>
      </c>
      <c r="N283" s="18">
        <v>0.34399999999999997</v>
      </c>
      <c r="O283" s="18">
        <v>4</v>
      </c>
      <c r="P283" s="18">
        <v>-8.9949999999999992</v>
      </c>
      <c r="Q283" s="18">
        <v>1</v>
      </c>
      <c r="R283" s="18">
        <v>3.4500000000000003E-2</v>
      </c>
      <c r="S283" s="18">
        <v>0.42099999999999999</v>
      </c>
      <c r="T283" s="18">
        <v>0</v>
      </c>
      <c r="U283" s="18">
        <v>8.0399999999999999E-2</v>
      </c>
      <c r="V283" s="18">
        <v>9.8699999999999996E-2</v>
      </c>
      <c r="W283" s="18">
        <v>147.92400000000001</v>
      </c>
      <c r="X283" s="18">
        <v>3</v>
      </c>
      <c r="Y283" s="19" t="s">
        <v>4</v>
      </c>
    </row>
    <row r="284" spans="1:25" x14ac:dyDescent="0.3">
      <c r="A284" s="14" t="s">
        <v>849</v>
      </c>
      <c r="B284" s="15" t="s">
        <v>850</v>
      </c>
      <c r="C284" s="15" t="s">
        <v>851</v>
      </c>
      <c r="D284" s="15" t="s">
        <v>852</v>
      </c>
      <c r="E284" s="15" t="str">
        <f t="shared" si="19"/>
        <v>Average</v>
      </c>
      <c r="F284" s="15">
        <v>55</v>
      </c>
      <c r="G284" s="30">
        <f t="shared" si="20"/>
        <v>28.208833333333335</v>
      </c>
      <c r="H284" s="15">
        <v>169253</v>
      </c>
      <c r="I284" s="15" t="str">
        <f t="shared" si="21"/>
        <v>Clean</v>
      </c>
      <c r="J284" s="15" t="b">
        <v>0</v>
      </c>
      <c r="K284" s="15" t="str">
        <f t="shared" si="22"/>
        <v>Moderate</v>
      </c>
      <c r="L284" s="15">
        <v>0.64700000000000002</v>
      </c>
      <c r="M284" s="15" t="str">
        <f t="shared" si="23"/>
        <v>Low Energy</v>
      </c>
      <c r="N284" s="15">
        <v>0.29799999999999999</v>
      </c>
      <c r="O284" s="15">
        <v>3</v>
      </c>
      <c r="P284" s="15">
        <v>-7.91</v>
      </c>
      <c r="Q284" s="15">
        <v>1</v>
      </c>
      <c r="R284" s="15">
        <v>3.1099999999999999E-2</v>
      </c>
      <c r="S284" s="15">
        <v>0.86099999999999999</v>
      </c>
      <c r="T284" s="15">
        <v>0</v>
      </c>
      <c r="U284" s="15">
        <v>0.12</v>
      </c>
      <c r="V284" s="15">
        <v>0.31</v>
      </c>
      <c r="W284" s="15">
        <v>106.244</v>
      </c>
      <c r="X284" s="15">
        <v>4</v>
      </c>
      <c r="Y284" s="16" t="s">
        <v>4</v>
      </c>
    </row>
    <row r="285" spans="1:25" x14ac:dyDescent="0.3">
      <c r="A285" s="17" t="s">
        <v>853</v>
      </c>
      <c r="B285" s="18" t="s">
        <v>854</v>
      </c>
      <c r="C285" s="18" t="s">
        <v>855</v>
      </c>
      <c r="D285" s="18" t="s">
        <v>855</v>
      </c>
      <c r="E285" s="18" t="str">
        <f t="shared" si="19"/>
        <v>Average</v>
      </c>
      <c r="F285" s="18">
        <v>51</v>
      </c>
      <c r="G285" s="30">
        <f t="shared" si="20"/>
        <v>22.844333333333335</v>
      </c>
      <c r="H285" s="18">
        <v>137066</v>
      </c>
      <c r="I285" s="18" t="str">
        <f t="shared" si="21"/>
        <v>Clean</v>
      </c>
      <c r="J285" s="18" t="b">
        <v>0</v>
      </c>
      <c r="K285" s="18" t="str">
        <f t="shared" si="22"/>
        <v>Moderate</v>
      </c>
      <c r="L285" s="18">
        <v>0.48599999999999999</v>
      </c>
      <c r="M285" s="18" t="str">
        <f t="shared" si="23"/>
        <v>Low Energy</v>
      </c>
      <c r="N285" s="18">
        <v>3.9899999999999998E-2</v>
      </c>
      <c r="O285" s="18">
        <v>0</v>
      </c>
      <c r="P285" s="18">
        <v>-21.56</v>
      </c>
      <c r="Q285" s="18">
        <v>1</v>
      </c>
      <c r="R285" s="18">
        <v>4.0500000000000001E-2</v>
      </c>
      <c r="S285" s="18">
        <v>0.95299999999999996</v>
      </c>
      <c r="T285" s="21" t="s">
        <v>856</v>
      </c>
      <c r="U285" s="18">
        <v>0.115</v>
      </c>
      <c r="V285" s="18">
        <v>0.155</v>
      </c>
      <c r="W285" s="18">
        <v>95.066000000000003</v>
      </c>
      <c r="X285" s="18">
        <v>3</v>
      </c>
      <c r="Y285" s="19" t="s">
        <v>4</v>
      </c>
    </row>
    <row r="286" spans="1:25" x14ac:dyDescent="0.3">
      <c r="A286" s="14" t="s">
        <v>857</v>
      </c>
      <c r="B286" s="15" t="s">
        <v>63</v>
      </c>
      <c r="C286" s="15" t="s">
        <v>858</v>
      </c>
      <c r="D286" s="15" t="s">
        <v>858</v>
      </c>
      <c r="E286" s="15" t="str">
        <f t="shared" si="19"/>
        <v>Low</v>
      </c>
      <c r="F286" s="15">
        <v>39</v>
      </c>
      <c r="G286" s="30">
        <f t="shared" si="20"/>
        <v>21.466333333333335</v>
      </c>
      <c r="H286" s="15">
        <v>128798</v>
      </c>
      <c r="I286" s="15" t="str">
        <f t="shared" si="21"/>
        <v>Clean</v>
      </c>
      <c r="J286" s="15" t="b">
        <v>1</v>
      </c>
      <c r="K286" s="15" t="str">
        <f t="shared" si="22"/>
        <v>Very Danceable</v>
      </c>
      <c r="L286" s="15">
        <v>0.73399999999999999</v>
      </c>
      <c r="M286" s="15" t="str">
        <f t="shared" si="23"/>
        <v>Low Energy</v>
      </c>
      <c r="N286" s="15">
        <v>4.2299999999999997E-2</v>
      </c>
      <c r="O286" s="15">
        <v>4</v>
      </c>
      <c r="P286" s="15">
        <v>-24.831</v>
      </c>
      <c r="Q286" s="15">
        <v>1</v>
      </c>
      <c r="R286" s="15">
        <v>5.8299999999999998E-2</v>
      </c>
      <c r="S286" s="15">
        <v>0.91600000000000004</v>
      </c>
      <c r="T286" s="15">
        <v>0</v>
      </c>
      <c r="U286" s="15">
        <v>0.108</v>
      </c>
      <c r="V286" s="15">
        <v>0.14000000000000001</v>
      </c>
      <c r="W286" s="15">
        <v>123.905</v>
      </c>
      <c r="X286" s="15">
        <v>4</v>
      </c>
      <c r="Y286" s="16" t="s">
        <v>4</v>
      </c>
    </row>
    <row r="287" spans="1:25" x14ac:dyDescent="0.3">
      <c r="A287" s="17" t="s">
        <v>859</v>
      </c>
      <c r="B287" s="18" t="s">
        <v>380</v>
      </c>
      <c r="C287" s="18" t="s">
        <v>860</v>
      </c>
      <c r="D287" s="18" t="s">
        <v>861</v>
      </c>
      <c r="E287" s="18" t="str">
        <f t="shared" si="19"/>
        <v>Popular</v>
      </c>
      <c r="F287" s="18">
        <v>60</v>
      </c>
      <c r="G287" s="30">
        <f t="shared" si="20"/>
        <v>42.995333333333335</v>
      </c>
      <c r="H287" s="18">
        <v>257972</v>
      </c>
      <c r="I287" s="18" t="str">
        <f t="shared" si="21"/>
        <v>Clean</v>
      </c>
      <c r="J287" s="18" t="b">
        <v>0</v>
      </c>
      <c r="K287" s="18" t="str">
        <f t="shared" si="22"/>
        <v>Very Danceable</v>
      </c>
      <c r="L287" s="18">
        <v>0.71099999999999997</v>
      </c>
      <c r="M287" s="18" t="str">
        <f t="shared" si="23"/>
        <v>Low Energy</v>
      </c>
      <c r="N287" s="18">
        <v>0.23100000000000001</v>
      </c>
      <c r="O287" s="18">
        <v>2</v>
      </c>
      <c r="P287" s="18">
        <v>-13.032999999999999</v>
      </c>
      <c r="Q287" s="18">
        <v>1</v>
      </c>
      <c r="R287" s="18">
        <v>3.4599999999999999E-2</v>
      </c>
      <c r="S287" s="18">
        <v>0.83199999999999996</v>
      </c>
      <c r="T287" s="18">
        <v>1.15E-3</v>
      </c>
      <c r="U287" s="18">
        <v>0.105</v>
      </c>
      <c r="V287" s="18">
        <v>0.186</v>
      </c>
      <c r="W287" s="18">
        <v>125.062</v>
      </c>
      <c r="X287" s="18">
        <v>4</v>
      </c>
      <c r="Y287" s="19" t="s">
        <v>4</v>
      </c>
    </row>
    <row r="288" spans="1:25" x14ac:dyDescent="0.3">
      <c r="A288" s="14" t="s">
        <v>862</v>
      </c>
      <c r="B288" s="15" t="s">
        <v>411</v>
      </c>
      <c r="C288" s="15" t="s">
        <v>863</v>
      </c>
      <c r="D288" s="15" t="s">
        <v>864</v>
      </c>
      <c r="E288" s="15" t="str">
        <f t="shared" si="19"/>
        <v>Popular</v>
      </c>
      <c r="F288" s="15">
        <v>60</v>
      </c>
      <c r="G288" s="30">
        <f t="shared" si="20"/>
        <v>24.344333333333335</v>
      </c>
      <c r="H288" s="15">
        <v>146066</v>
      </c>
      <c r="I288" s="15" t="str">
        <f t="shared" si="21"/>
        <v>Clean</v>
      </c>
      <c r="J288" s="15" t="b">
        <v>0</v>
      </c>
      <c r="K288" s="15" t="str">
        <f t="shared" si="22"/>
        <v>Moderate</v>
      </c>
      <c r="L288" s="15">
        <v>0.629</v>
      </c>
      <c r="M288" s="15" t="str">
        <f t="shared" si="23"/>
        <v>Low Energy</v>
      </c>
      <c r="N288" s="15">
        <v>0.17399999999999999</v>
      </c>
      <c r="O288" s="15">
        <v>6</v>
      </c>
      <c r="P288" s="15">
        <v>-9.6969999999999992</v>
      </c>
      <c r="Q288" s="15">
        <v>1</v>
      </c>
      <c r="R288" s="15">
        <v>0.14099999999999999</v>
      </c>
      <c r="S288" s="15">
        <v>0.61599999999999999</v>
      </c>
      <c r="T288" s="15">
        <v>0</v>
      </c>
      <c r="U288" s="15">
        <v>0.11799999999999999</v>
      </c>
      <c r="V288" s="15">
        <v>0.30499999999999999</v>
      </c>
      <c r="W288" s="15">
        <v>134.29499999999999</v>
      </c>
      <c r="X288" s="15">
        <v>1</v>
      </c>
      <c r="Y288" s="16" t="s">
        <v>4</v>
      </c>
    </row>
    <row r="289" spans="1:25" x14ac:dyDescent="0.3">
      <c r="A289" s="17" t="s">
        <v>865</v>
      </c>
      <c r="B289" s="18" t="s">
        <v>866</v>
      </c>
      <c r="C289" s="18" t="s">
        <v>867</v>
      </c>
      <c r="D289" s="18" t="s">
        <v>868</v>
      </c>
      <c r="E289" s="18" t="str">
        <f t="shared" si="19"/>
        <v>Average</v>
      </c>
      <c r="F289" s="18">
        <v>53</v>
      </c>
      <c r="G289" s="30">
        <f t="shared" si="20"/>
        <v>28.784666666666666</v>
      </c>
      <c r="H289" s="18">
        <v>172708</v>
      </c>
      <c r="I289" s="18" t="str">
        <f t="shared" si="21"/>
        <v>Clean</v>
      </c>
      <c r="J289" s="18" t="b">
        <v>0</v>
      </c>
      <c r="K289" s="18" t="str">
        <f t="shared" si="22"/>
        <v>Moderate</v>
      </c>
      <c r="L289" s="18">
        <v>0.61499999999999999</v>
      </c>
      <c r="M289" s="18" t="str">
        <f t="shared" si="23"/>
        <v>Medium Energy</v>
      </c>
      <c r="N289" s="18">
        <v>0.40600000000000003</v>
      </c>
      <c r="O289" s="18">
        <v>6</v>
      </c>
      <c r="P289" s="18">
        <v>-12.619</v>
      </c>
      <c r="Q289" s="18">
        <v>1</v>
      </c>
      <c r="R289" s="18">
        <v>3.5799999999999998E-2</v>
      </c>
      <c r="S289" s="18">
        <v>0.54100000000000004</v>
      </c>
      <c r="T289" s="21" t="s">
        <v>869</v>
      </c>
      <c r="U289" s="18">
        <v>9.8199999999999996E-2</v>
      </c>
      <c r="V289" s="18">
        <v>0.54100000000000004</v>
      </c>
      <c r="W289" s="18">
        <v>166.035</v>
      </c>
      <c r="X289" s="18">
        <v>4</v>
      </c>
      <c r="Y289" s="19" t="s">
        <v>4</v>
      </c>
    </row>
    <row r="290" spans="1:25" x14ac:dyDescent="0.3">
      <c r="A290" s="14" t="s">
        <v>870</v>
      </c>
      <c r="B290" s="15" t="s">
        <v>871</v>
      </c>
      <c r="C290" s="15" t="s">
        <v>872</v>
      </c>
      <c r="D290" s="22">
        <v>0.53541666666666665</v>
      </c>
      <c r="E290" s="31" t="str">
        <f t="shared" si="19"/>
        <v>Popular</v>
      </c>
      <c r="F290" s="15">
        <v>64</v>
      </c>
      <c r="G290" s="30">
        <f t="shared" si="20"/>
        <v>41.046666666666667</v>
      </c>
      <c r="H290" s="15">
        <v>246280</v>
      </c>
      <c r="I290" s="15" t="str">
        <f t="shared" si="21"/>
        <v>Clean</v>
      </c>
      <c r="J290" s="15" t="b">
        <v>0</v>
      </c>
      <c r="K290" s="15" t="str">
        <f t="shared" si="22"/>
        <v>Moderate</v>
      </c>
      <c r="L290" s="15">
        <v>0.503</v>
      </c>
      <c r="M290" s="15" t="str">
        <f t="shared" si="23"/>
        <v>Low Energy</v>
      </c>
      <c r="N290" s="15">
        <v>0.35699999999999998</v>
      </c>
      <c r="O290" s="15">
        <v>3</v>
      </c>
      <c r="P290" s="15">
        <v>-9.36</v>
      </c>
      <c r="Q290" s="15">
        <v>1</v>
      </c>
      <c r="R290" s="15">
        <v>2.7199999999999998E-2</v>
      </c>
      <c r="S290" s="15">
        <v>0.72699999999999998</v>
      </c>
      <c r="T290" s="15">
        <v>0</v>
      </c>
      <c r="U290" s="15">
        <v>0.128</v>
      </c>
      <c r="V290" s="15">
        <v>0.438</v>
      </c>
      <c r="W290" s="15">
        <v>136.13499999999999</v>
      </c>
      <c r="X290" s="15">
        <v>4</v>
      </c>
      <c r="Y290" s="16" t="s">
        <v>4</v>
      </c>
    </row>
    <row r="291" spans="1:25" x14ac:dyDescent="0.3">
      <c r="A291" s="17" t="s">
        <v>873</v>
      </c>
      <c r="B291" s="18" t="s">
        <v>874</v>
      </c>
      <c r="C291" s="18" t="s">
        <v>875</v>
      </c>
      <c r="D291" s="18" t="s">
        <v>876</v>
      </c>
      <c r="E291" s="18" t="str">
        <f t="shared" si="19"/>
        <v>Low</v>
      </c>
      <c r="F291" s="18">
        <v>34</v>
      </c>
      <c r="G291" s="30">
        <f t="shared" si="20"/>
        <v>55.330666666666666</v>
      </c>
      <c r="H291" s="18">
        <v>331984</v>
      </c>
      <c r="I291" s="18" t="str">
        <f t="shared" si="21"/>
        <v>Clean</v>
      </c>
      <c r="J291" s="18" t="b">
        <v>0</v>
      </c>
      <c r="K291" s="18" t="str">
        <f t="shared" si="22"/>
        <v>Moderate</v>
      </c>
      <c r="L291" s="18">
        <v>0.45</v>
      </c>
      <c r="M291" s="18" t="str">
        <f t="shared" si="23"/>
        <v>Low Energy</v>
      </c>
      <c r="N291" s="18">
        <v>0.183</v>
      </c>
      <c r="O291" s="18">
        <v>2</v>
      </c>
      <c r="P291" s="18">
        <v>-9.0030000000000001</v>
      </c>
      <c r="Q291" s="18">
        <v>1</v>
      </c>
      <c r="R291" s="18">
        <v>3.09E-2</v>
      </c>
      <c r="S291" s="18">
        <v>0.76200000000000001</v>
      </c>
      <c r="T291" s="21" t="s">
        <v>877</v>
      </c>
      <c r="U291" s="18">
        <v>0.11</v>
      </c>
      <c r="V291" s="18">
        <v>0.219</v>
      </c>
      <c r="W291" s="18">
        <v>61.192</v>
      </c>
      <c r="X291" s="18">
        <v>4</v>
      </c>
      <c r="Y291" s="19" t="s">
        <v>4</v>
      </c>
    </row>
    <row r="292" spans="1:25" x14ac:dyDescent="0.3">
      <c r="A292" s="14" t="s">
        <v>878</v>
      </c>
      <c r="B292" s="15" t="s">
        <v>879</v>
      </c>
      <c r="C292" s="15" t="s">
        <v>880</v>
      </c>
      <c r="D292" s="15" t="s">
        <v>881</v>
      </c>
      <c r="E292" s="15" t="str">
        <f t="shared" si="19"/>
        <v>Average</v>
      </c>
      <c r="F292" s="15">
        <v>50</v>
      </c>
      <c r="G292" s="30">
        <f t="shared" si="20"/>
        <v>36.00866666666667</v>
      </c>
      <c r="H292" s="15">
        <v>216052</v>
      </c>
      <c r="I292" s="15" t="str">
        <f t="shared" si="21"/>
        <v>Clean</v>
      </c>
      <c r="J292" s="15" t="b">
        <v>0</v>
      </c>
      <c r="K292" s="15" t="str">
        <f t="shared" si="22"/>
        <v>Moderate</v>
      </c>
      <c r="L292" s="15">
        <v>0.52500000000000002</v>
      </c>
      <c r="M292" s="15" t="str">
        <f t="shared" si="23"/>
        <v>Medium Energy</v>
      </c>
      <c r="N292" s="15">
        <v>0.46100000000000002</v>
      </c>
      <c r="O292" s="15">
        <v>5</v>
      </c>
      <c r="P292" s="15">
        <v>-9.4890000000000008</v>
      </c>
      <c r="Q292" s="15">
        <v>0</v>
      </c>
      <c r="R292" s="15">
        <v>8.7800000000000003E-2</v>
      </c>
      <c r="S292" s="15">
        <v>0.77500000000000002</v>
      </c>
      <c r="T292" s="20" t="s">
        <v>882</v>
      </c>
      <c r="U292" s="15">
        <v>0.36199999999999999</v>
      </c>
      <c r="V292" s="15">
        <v>0.20200000000000001</v>
      </c>
      <c r="W292" s="15">
        <v>147.99700000000001</v>
      </c>
      <c r="X292" s="15">
        <v>4</v>
      </c>
      <c r="Y292" s="16" t="s">
        <v>4</v>
      </c>
    </row>
    <row r="293" spans="1:25" x14ac:dyDescent="0.3">
      <c r="A293" s="17" t="s">
        <v>883</v>
      </c>
      <c r="B293" s="18" t="s">
        <v>398</v>
      </c>
      <c r="C293" s="18" t="s">
        <v>884</v>
      </c>
      <c r="D293" s="18" t="s">
        <v>884</v>
      </c>
      <c r="E293" s="18" t="str">
        <f t="shared" si="19"/>
        <v>Popular</v>
      </c>
      <c r="F293" s="18">
        <v>65</v>
      </c>
      <c r="G293" s="30">
        <f t="shared" si="20"/>
        <v>40.655500000000004</v>
      </c>
      <c r="H293" s="18">
        <v>243933</v>
      </c>
      <c r="I293" s="18" t="str">
        <f t="shared" si="21"/>
        <v>Clean</v>
      </c>
      <c r="J293" s="18" t="b">
        <v>0</v>
      </c>
      <c r="K293" s="18" t="str">
        <f t="shared" si="22"/>
        <v>Moderate</v>
      </c>
      <c r="L293" s="18">
        <v>0.55500000000000005</v>
      </c>
      <c r="M293" s="18" t="str">
        <f t="shared" si="23"/>
        <v>High Energy</v>
      </c>
      <c r="N293" s="18">
        <v>0.93400000000000005</v>
      </c>
      <c r="O293" s="18">
        <v>9</v>
      </c>
      <c r="P293" s="18">
        <v>-5.04</v>
      </c>
      <c r="Q293" s="18">
        <v>1</v>
      </c>
      <c r="R293" s="18">
        <v>0.113</v>
      </c>
      <c r="S293" s="18">
        <v>2.6800000000000001E-3</v>
      </c>
      <c r="T293" s="18">
        <v>0</v>
      </c>
      <c r="U293" s="18">
        <v>0.122</v>
      </c>
      <c r="V293" s="18">
        <v>0.42199999999999999</v>
      </c>
      <c r="W293" s="18">
        <v>144.874</v>
      </c>
      <c r="X293" s="18">
        <v>4</v>
      </c>
      <c r="Y293" s="19" t="s">
        <v>4</v>
      </c>
    </row>
    <row r="294" spans="1:25" x14ac:dyDescent="0.3">
      <c r="A294" s="14" t="s">
        <v>885</v>
      </c>
      <c r="B294" s="15" t="s">
        <v>597</v>
      </c>
      <c r="C294" s="15" t="s">
        <v>598</v>
      </c>
      <c r="D294" s="15" t="s">
        <v>886</v>
      </c>
      <c r="E294" s="15" t="str">
        <f t="shared" si="19"/>
        <v>Average</v>
      </c>
      <c r="F294" s="15">
        <v>56</v>
      </c>
      <c r="G294" s="30">
        <f t="shared" si="20"/>
        <v>33.297666666666665</v>
      </c>
      <c r="H294" s="15">
        <v>199786</v>
      </c>
      <c r="I294" s="15" t="str">
        <f t="shared" si="21"/>
        <v>Clean</v>
      </c>
      <c r="J294" s="15" t="b">
        <v>0</v>
      </c>
      <c r="K294" s="15" t="str">
        <f t="shared" si="22"/>
        <v>Moderate</v>
      </c>
      <c r="L294" s="15">
        <v>0.67800000000000005</v>
      </c>
      <c r="M294" s="15" t="str">
        <f t="shared" si="23"/>
        <v>Low Energy</v>
      </c>
      <c r="N294" s="15">
        <v>0.36299999999999999</v>
      </c>
      <c r="O294" s="15">
        <v>11</v>
      </c>
      <c r="P294" s="15">
        <v>-10.9</v>
      </c>
      <c r="Q294" s="15">
        <v>1</v>
      </c>
      <c r="R294" s="15">
        <v>3.1800000000000002E-2</v>
      </c>
      <c r="S294" s="15">
        <v>0.872</v>
      </c>
      <c r="T294" s="15">
        <v>1.01E-4</v>
      </c>
      <c r="U294" s="15">
        <v>7.9799999999999996E-2</v>
      </c>
      <c r="V294" s="15">
        <v>0.54300000000000004</v>
      </c>
      <c r="W294" s="15">
        <v>75.004000000000005</v>
      </c>
      <c r="X294" s="15">
        <v>5</v>
      </c>
      <c r="Y294" s="16" t="s">
        <v>4</v>
      </c>
    </row>
    <row r="295" spans="1:25" x14ac:dyDescent="0.3">
      <c r="A295" s="17" t="s">
        <v>887</v>
      </c>
      <c r="B295" s="18" t="s">
        <v>398</v>
      </c>
      <c r="C295" s="18" t="s">
        <v>884</v>
      </c>
      <c r="D295" s="18" t="s">
        <v>888</v>
      </c>
      <c r="E295" s="18" t="str">
        <f t="shared" si="19"/>
        <v>Average</v>
      </c>
      <c r="F295" s="18">
        <v>57</v>
      </c>
      <c r="G295" s="30">
        <f t="shared" si="20"/>
        <v>42.822166666666668</v>
      </c>
      <c r="H295" s="18">
        <v>256933</v>
      </c>
      <c r="I295" s="18" t="str">
        <f t="shared" si="21"/>
        <v>Clean</v>
      </c>
      <c r="J295" s="18" t="b">
        <v>0</v>
      </c>
      <c r="K295" s="18" t="str">
        <f t="shared" si="22"/>
        <v>Moderate</v>
      </c>
      <c r="L295" s="18">
        <v>0.55500000000000005</v>
      </c>
      <c r="M295" s="18" t="str">
        <f t="shared" si="23"/>
        <v>Medium Energy</v>
      </c>
      <c r="N295" s="18">
        <v>0.45200000000000001</v>
      </c>
      <c r="O295" s="18">
        <v>0</v>
      </c>
      <c r="P295" s="18">
        <v>-9.6359999999999992</v>
      </c>
      <c r="Q295" s="18">
        <v>1</v>
      </c>
      <c r="R295" s="18">
        <v>5.5399999999999998E-2</v>
      </c>
      <c r="S295" s="18">
        <v>0.69399999999999995</v>
      </c>
      <c r="T295" s="18">
        <v>0</v>
      </c>
      <c r="U295" s="18">
        <v>5.9499999999999997E-2</v>
      </c>
      <c r="V295" s="18">
        <v>0.32100000000000001</v>
      </c>
      <c r="W295" s="18">
        <v>179.92099999999999</v>
      </c>
      <c r="X295" s="18">
        <v>4</v>
      </c>
      <c r="Y295" s="19" t="s">
        <v>4</v>
      </c>
    </row>
    <row r="296" spans="1:25" x14ac:dyDescent="0.3">
      <c r="A296" s="14" t="s">
        <v>889</v>
      </c>
      <c r="B296" s="15" t="s">
        <v>890</v>
      </c>
      <c r="C296" s="15" t="s">
        <v>891</v>
      </c>
      <c r="D296" s="15" t="s">
        <v>786</v>
      </c>
      <c r="E296" s="15" t="str">
        <f t="shared" si="19"/>
        <v>Average</v>
      </c>
      <c r="F296" s="15">
        <v>43</v>
      </c>
      <c r="G296" s="30">
        <f t="shared" si="20"/>
        <v>46.652666666666669</v>
      </c>
      <c r="H296" s="15">
        <v>279916</v>
      </c>
      <c r="I296" s="15" t="str">
        <f t="shared" si="21"/>
        <v>Clean</v>
      </c>
      <c r="J296" s="15" t="b">
        <v>0</v>
      </c>
      <c r="K296" s="15" t="str">
        <f t="shared" si="22"/>
        <v>Moderate</v>
      </c>
      <c r="L296" s="15">
        <v>0.58599999999999997</v>
      </c>
      <c r="M296" s="15" t="str">
        <f t="shared" si="23"/>
        <v>Low Energy</v>
      </c>
      <c r="N296" s="15">
        <v>0.39600000000000002</v>
      </c>
      <c r="O296" s="15">
        <v>10</v>
      </c>
      <c r="P296" s="15">
        <v>-9.9529999999999994</v>
      </c>
      <c r="Q296" s="15">
        <v>1</v>
      </c>
      <c r="R296" s="15">
        <v>3.1899999999999998E-2</v>
      </c>
      <c r="S296" s="15">
        <v>0.89600000000000002</v>
      </c>
      <c r="T296" s="15">
        <v>0.54300000000000004</v>
      </c>
      <c r="U296" s="15">
        <v>9.9199999999999997E-2</v>
      </c>
      <c r="V296" s="15">
        <v>0.16</v>
      </c>
      <c r="W296" s="15">
        <v>142.59100000000001</v>
      </c>
      <c r="X296" s="15">
        <v>3</v>
      </c>
      <c r="Y296" s="16" t="s">
        <v>4</v>
      </c>
    </row>
    <row r="297" spans="1:25" x14ac:dyDescent="0.3">
      <c r="A297" s="17" t="s">
        <v>892</v>
      </c>
      <c r="B297" s="18" t="s">
        <v>692</v>
      </c>
      <c r="C297" s="18" t="s">
        <v>709</v>
      </c>
      <c r="D297" s="18" t="s">
        <v>893</v>
      </c>
      <c r="E297" s="18" t="str">
        <f t="shared" si="19"/>
        <v>Popular</v>
      </c>
      <c r="F297" s="18">
        <v>64</v>
      </c>
      <c r="G297" s="30">
        <f t="shared" si="20"/>
        <v>41.811</v>
      </c>
      <c r="H297" s="18">
        <v>250866</v>
      </c>
      <c r="I297" s="18" t="str">
        <f t="shared" si="21"/>
        <v>Clean</v>
      </c>
      <c r="J297" s="18" t="b">
        <v>0</v>
      </c>
      <c r="K297" s="18" t="str">
        <f t="shared" si="22"/>
        <v>Moderate</v>
      </c>
      <c r="L297" s="18">
        <v>0.58799999999999997</v>
      </c>
      <c r="M297" s="18" t="str">
        <f t="shared" si="23"/>
        <v>Low Energy</v>
      </c>
      <c r="N297" s="18">
        <v>0.14199999999999999</v>
      </c>
      <c r="O297" s="18">
        <v>7</v>
      </c>
      <c r="P297" s="18">
        <v>-15.196</v>
      </c>
      <c r="Q297" s="18">
        <v>1</v>
      </c>
      <c r="R297" s="18">
        <v>3.2899999999999999E-2</v>
      </c>
      <c r="S297" s="18">
        <v>0.86299999999999999</v>
      </c>
      <c r="T297" s="18">
        <v>1.6200000000000001E-4</v>
      </c>
      <c r="U297" s="18">
        <v>9.5299999999999996E-2</v>
      </c>
      <c r="V297" s="18">
        <v>0.28799999999999998</v>
      </c>
      <c r="W297" s="18">
        <v>119.65600000000001</v>
      </c>
      <c r="X297" s="18">
        <v>4</v>
      </c>
      <c r="Y297" s="19" t="s">
        <v>4</v>
      </c>
    </row>
    <row r="298" spans="1:25" x14ac:dyDescent="0.3">
      <c r="A298" s="14" t="s">
        <v>894</v>
      </c>
      <c r="B298" s="15" t="s">
        <v>129</v>
      </c>
      <c r="C298" s="15" t="s">
        <v>265</v>
      </c>
      <c r="D298" s="15" t="s">
        <v>895</v>
      </c>
      <c r="E298" s="15" t="str">
        <f t="shared" si="19"/>
        <v>Average</v>
      </c>
      <c r="F298" s="15">
        <v>58</v>
      </c>
      <c r="G298" s="30">
        <f t="shared" si="20"/>
        <v>15.6755</v>
      </c>
      <c r="H298" s="15">
        <v>94053</v>
      </c>
      <c r="I298" s="15" t="str">
        <f t="shared" si="21"/>
        <v>Clean</v>
      </c>
      <c r="J298" s="15" t="b">
        <v>0</v>
      </c>
      <c r="K298" s="15" t="str">
        <f t="shared" si="22"/>
        <v>Very Danceable</v>
      </c>
      <c r="L298" s="15">
        <v>0.72399999999999998</v>
      </c>
      <c r="M298" s="15" t="str">
        <f t="shared" si="23"/>
        <v>Medium Energy</v>
      </c>
      <c r="N298" s="15">
        <v>0.65200000000000002</v>
      </c>
      <c r="O298" s="15">
        <v>3</v>
      </c>
      <c r="P298" s="15">
        <v>-6.8689999999999998</v>
      </c>
      <c r="Q298" s="15">
        <v>1</v>
      </c>
      <c r="R298" s="15">
        <v>2.47E-2</v>
      </c>
      <c r="S298" s="15">
        <v>0.46</v>
      </c>
      <c r="T298" s="15">
        <v>1.4200000000000001E-4</v>
      </c>
      <c r="U298" s="15">
        <v>0.10100000000000001</v>
      </c>
      <c r="V298" s="15">
        <v>0.75</v>
      </c>
      <c r="W298" s="15">
        <v>106.911</v>
      </c>
      <c r="X298" s="15">
        <v>4</v>
      </c>
      <c r="Y298" s="16" t="s">
        <v>4</v>
      </c>
    </row>
    <row r="299" spans="1:25" x14ac:dyDescent="0.3">
      <c r="A299" s="17" t="s">
        <v>896</v>
      </c>
      <c r="B299" s="18" t="s">
        <v>897</v>
      </c>
      <c r="C299" s="18" t="s">
        <v>898</v>
      </c>
      <c r="D299" s="18" t="s">
        <v>898</v>
      </c>
      <c r="E299" s="18" t="str">
        <f t="shared" si="19"/>
        <v>Popular</v>
      </c>
      <c r="F299" s="18">
        <v>64</v>
      </c>
      <c r="G299" s="30">
        <f t="shared" si="20"/>
        <v>38.6355</v>
      </c>
      <c r="H299" s="18">
        <v>231813</v>
      </c>
      <c r="I299" s="18" t="str">
        <f t="shared" si="21"/>
        <v>Clean</v>
      </c>
      <c r="J299" s="18" t="b">
        <v>0</v>
      </c>
      <c r="K299" s="18" t="str">
        <f t="shared" si="22"/>
        <v>Moderate</v>
      </c>
      <c r="L299" s="18">
        <v>0.56699999999999995</v>
      </c>
      <c r="M299" s="18" t="str">
        <f t="shared" si="23"/>
        <v>Low Energy</v>
      </c>
      <c r="N299" s="18">
        <v>0.224</v>
      </c>
      <c r="O299" s="18">
        <v>1</v>
      </c>
      <c r="P299" s="18">
        <v>-10.023999999999999</v>
      </c>
      <c r="Q299" s="18">
        <v>1</v>
      </c>
      <c r="R299" s="18">
        <v>2.9899999999999999E-2</v>
      </c>
      <c r="S299" s="18">
        <v>0.88700000000000001</v>
      </c>
      <c r="T299" s="18">
        <v>0</v>
      </c>
      <c r="U299" s="18">
        <v>0.109</v>
      </c>
      <c r="V299" s="18">
        <v>0.2</v>
      </c>
      <c r="W299" s="18">
        <v>124.44</v>
      </c>
      <c r="X299" s="18">
        <v>4</v>
      </c>
      <c r="Y299" s="19" t="s">
        <v>4</v>
      </c>
    </row>
    <row r="300" spans="1:25" x14ac:dyDescent="0.3">
      <c r="A300" s="14" t="s">
        <v>899</v>
      </c>
      <c r="B300" s="15" t="s">
        <v>735</v>
      </c>
      <c r="C300" s="15" t="s">
        <v>900</v>
      </c>
      <c r="D300" s="15" t="s">
        <v>901</v>
      </c>
      <c r="E300" s="15" t="str">
        <f t="shared" si="19"/>
        <v>Low</v>
      </c>
      <c r="F300" s="15">
        <v>35</v>
      </c>
      <c r="G300" s="30">
        <f t="shared" si="20"/>
        <v>25.007833333333334</v>
      </c>
      <c r="H300" s="15">
        <v>150047</v>
      </c>
      <c r="I300" s="15" t="str">
        <f t="shared" si="21"/>
        <v>Clean</v>
      </c>
      <c r="J300" s="15" t="b">
        <v>1</v>
      </c>
      <c r="K300" s="15" t="str">
        <f t="shared" si="22"/>
        <v>Moderate</v>
      </c>
      <c r="L300" s="15">
        <v>0.54400000000000004</v>
      </c>
      <c r="M300" s="15" t="str">
        <f t="shared" si="23"/>
        <v>High Energy</v>
      </c>
      <c r="N300" s="15">
        <v>0.83899999999999997</v>
      </c>
      <c r="O300" s="15">
        <v>5</v>
      </c>
      <c r="P300" s="15">
        <v>-8.9909999999999997</v>
      </c>
      <c r="Q300" s="15">
        <v>1</v>
      </c>
      <c r="R300" s="15">
        <v>5.6800000000000003E-2</v>
      </c>
      <c r="S300" s="15">
        <v>0.78400000000000003</v>
      </c>
      <c r="T300" s="15">
        <v>0</v>
      </c>
      <c r="U300" s="15">
        <v>0.34100000000000003</v>
      </c>
      <c r="V300" s="15">
        <v>0.96699999999999997</v>
      </c>
      <c r="W300" s="15">
        <v>87.608999999999995</v>
      </c>
      <c r="X300" s="15">
        <v>4</v>
      </c>
      <c r="Y300" s="16" t="s">
        <v>4</v>
      </c>
    </row>
    <row r="301" spans="1:25" x14ac:dyDescent="0.3">
      <c r="A301" s="17" t="s">
        <v>902</v>
      </c>
      <c r="B301" s="18" t="s">
        <v>692</v>
      </c>
      <c r="C301" s="18" t="s">
        <v>903</v>
      </c>
      <c r="D301" s="18" t="s">
        <v>904</v>
      </c>
      <c r="E301" s="18" t="str">
        <f t="shared" si="19"/>
        <v>Low</v>
      </c>
      <c r="F301" s="18">
        <v>36</v>
      </c>
      <c r="G301" s="30">
        <f t="shared" si="20"/>
        <v>36.128833333333333</v>
      </c>
      <c r="H301" s="18">
        <v>216773</v>
      </c>
      <c r="I301" s="18" t="str">
        <f t="shared" si="21"/>
        <v>Clean</v>
      </c>
      <c r="J301" s="18" t="b">
        <v>0</v>
      </c>
      <c r="K301" s="18" t="str">
        <f t="shared" si="22"/>
        <v>Moderate</v>
      </c>
      <c r="L301" s="18">
        <v>0.55500000000000005</v>
      </c>
      <c r="M301" s="18" t="str">
        <f t="shared" si="23"/>
        <v>Medium Energy</v>
      </c>
      <c r="N301" s="18">
        <v>0.68</v>
      </c>
      <c r="O301" s="18">
        <v>10</v>
      </c>
      <c r="P301" s="18">
        <v>-8.3580000000000005</v>
      </c>
      <c r="Q301" s="18">
        <v>0</v>
      </c>
      <c r="R301" s="18">
        <v>3.2300000000000002E-2</v>
      </c>
      <c r="S301" s="18">
        <v>0.126</v>
      </c>
      <c r="T301" s="18">
        <v>9.0600000000000001E-4</v>
      </c>
      <c r="U301" s="18">
        <v>5.0599999999999999E-2</v>
      </c>
      <c r="V301" s="18">
        <v>0.90300000000000002</v>
      </c>
      <c r="W301" s="18">
        <v>84.518000000000001</v>
      </c>
      <c r="X301" s="18">
        <v>4</v>
      </c>
      <c r="Y301" s="19" t="s">
        <v>4</v>
      </c>
    </row>
    <row r="302" spans="1:25" x14ac:dyDescent="0.3">
      <c r="A302" s="14" t="s">
        <v>905</v>
      </c>
      <c r="B302" s="15" t="s">
        <v>309</v>
      </c>
      <c r="C302" s="15" t="s">
        <v>906</v>
      </c>
      <c r="D302" s="15" t="s">
        <v>907</v>
      </c>
      <c r="E302" s="15" t="str">
        <f t="shared" si="19"/>
        <v>Average</v>
      </c>
      <c r="F302" s="15">
        <v>54</v>
      </c>
      <c r="G302" s="30">
        <f t="shared" si="20"/>
        <v>24.295166666666667</v>
      </c>
      <c r="H302" s="15">
        <v>145771</v>
      </c>
      <c r="I302" s="15" t="str">
        <f t="shared" si="21"/>
        <v>Clean</v>
      </c>
      <c r="J302" s="15" t="b">
        <v>0</v>
      </c>
      <c r="K302" s="15" t="str">
        <f t="shared" si="22"/>
        <v>Moderate</v>
      </c>
      <c r="L302" s="15">
        <v>0.69</v>
      </c>
      <c r="M302" s="15" t="str">
        <f t="shared" si="23"/>
        <v>Low Energy</v>
      </c>
      <c r="N302" s="15">
        <v>0.30599999999999999</v>
      </c>
      <c r="O302" s="15">
        <v>9</v>
      </c>
      <c r="P302" s="15">
        <v>-9.1929999999999996</v>
      </c>
      <c r="Q302" s="15">
        <v>1</v>
      </c>
      <c r="R302" s="15">
        <v>3.56E-2</v>
      </c>
      <c r="S302" s="15">
        <v>0.80500000000000005</v>
      </c>
      <c r="T302" s="15">
        <v>0</v>
      </c>
      <c r="U302" s="15">
        <v>9.6799999999999997E-2</v>
      </c>
      <c r="V302" s="15">
        <v>0.42399999999999999</v>
      </c>
      <c r="W302" s="15">
        <v>115.67100000000001</v>
      </c>
      <c r="X302" s="15">
        <v>4</v>
      </c>
      <c r="Y302" s="16" t="s">
        <v>4</v>
      </c>
    </row>
    <row r="303" spans="1:25" x14ac:dyDescent="0.3">
      <c r="A303" s="17" t="s">
        <v>908</v>
      </c>
      <c r="B303" s="18" t="s">
        <v>406</v>
      </c>
      <c r="C303" s="18" t="s">
        <v>909</v>
      </c>
      <c r="D303" s="18" t="s">
        <v>910</v>
      </c>
      <c r="E303" s="18" t="str">
        <f t="shared" si="19"/>
        <v>Average</v>
      </c>
      <c r="F303" s="18">
        <v>43</v>
      </c>
      <c r="G303" s="30">
        <f t="shared" si="20"/>
        <v>46.543333333333337</v>
      </c>
      <c r="H303" s="18">
        <v>279260</v>
      </c>
      <c r="I303" s="18" t="str">
        <f t="shared" si="21"/>
        <v>Clean</v>
      </c>
      <c r="J303" s="18" t="b">
        <v>0</v>
      </c>
      <c r="K303" s="18" t="str">
        <f t="shared" si="22"/>
        <v>Moderate</v>
      </c>
      <c r="L303" s="18">
        <v>0.51300000000000001</v>
      </c>
      <c r="M303" s="18" t="str">
        <f t="shared" si="23"/>
        <v>Low Energy</v>
      </c>
      <c r="N303" s="18">
        <v>0.317</v>
      </c>
      <c r="O303" s="18">
        <v>10</v>
      </c>
      <c r="P303" s="18">
        <v>-17.036000000000001</v>
      </c>
      <c r="Q303" s="18">
        <v>1</v>
      </c>
      <c r="R303" s="18">
        <v>3.6299999999999999E-2</v>
      </c>
      <c r="S303" s="18">
        <v>0.36499999999999999</v>
      </c>
      <c r="T303" s="18">
        <v>3.0000000000000001E-3</v>
      </c>
      <c r="U303" s="18">
        <v>0.11799999999999999</v>
      </c>
      <c r="V303" s="18">
        <v>0.17699999999999999</v>
      </c>
      <c r="W303" s="18">
        <v>84.852999999999994</v>
      </c>
      <c r="X303" s="18">
        <v>4</v>
      </c>
      <c r="Y303" s="19" t="s">
        <v>4</v>
      </c>
    </row>
    <row r="304" spans="1:25" x14ac:dyDescent="0.3">
      <c r="A304" s="14" t="s">
        <v>911</v>
      </c>
      <c r="B304" s="15" t="s">
        <v>332</v>
      </c>
      <c r="C304" s="15" t="s">
        <v>912</v>
      </c>
      <c r="D304" s="15" t="s">
        <v>913</v>
      </c>
      <c r="E304" s="15" t="str">
        <f t="shared" si="19"/>
        <v>Average</v>
      </c>
      <c r="F304" s="15">
        <v>49</v>
      </c>
      <c r="G304" s="30">
        <f t="shared" si="20"/>
        <v>27.160499999999999</v>
      </c>
      <c r="H304" s="15">
        <v>162963</v>
      </c>
      <c r="I304" s="15" t="str">
        <f t="shared" si="21"/>
        <v>Clean</v>
      </c>
      <c r="J304" s="15" t="b">
        <v>0</v>
      </c>
      <c r="K304" s="15" t="str">
        <f t="shared" si="22"/>
        <v>Moderate</v>
      </c>
      <c r="L304" s="15">
        <v>0.49399999999999999</v>
      </c>
      <c r="M304" s="15" t="str">
        <f t="shared" si="23"/>
        <v>Low Energy</v>
      </c>
      <c r="N304" s="15">
        <v>0.152</v>
      </c>
      <c r="O304" s="15">
        <v>3</v>
      </c>
      <c r="P304" s="15">
        <v>-9.843</v>
      </c>
      <c r="Q304" s="15">
        <v>1</v>
      </c>
      <c r="R304" s="15">
        <v>3.1300000000000001E-2</v>
      </c>
      <c r="S304" s="15">
        <v>0.94699999999999995</v>
      </c>
      <c r="T304" s="15">
        <v>0</v>
      </c>
      <c r="U304" s="15">
        <v>0.123</v>
      </c>
      <c r="V304" s="15">
        <v>0.30399999999999999</v>
      </c>
      <c r="W304" s="15">
        <v>134.178</v>
      </c>
      <c r="X304" s="15">
        <v>4</v>
      </c>
      <c r="Y304" s="16" t="s">
        <v>4</v>
      </c>
    </row>
    <row r="305" spans="1:25" x14ac:dyDescent="0.3">
      <c r="A305" s="17" t="s">
        <v>914</v>
      </c>
      <c r="B305" s="18" t="s">
        <v>915</v>
      </c>
      <c r="C305" s="18" t="s">
        <v>916</v>
      </c>
      <c r="D305" s="18" t="s">
        <v>917</v>
      </c>
      <c r="E305" s="18" t="str">
        <f t="shared" si="19"/>
        <v>Average</v>
      </c>
      <c r="F305" s="18">
        <v>55</v>
      </c>
      <c r="G305" s="30">
        <f t="shared" si="20"/>
        <v>27.698166666666665</v>
      </c>
      <c r="H305" s="18">
        <v>166189</v>
      </c>
      <c r="I305" s="18" t="str">
        <f t="shared" si="21"/>
        <v>Clean</v>
      </c>
      <c r="J305" s="18" t="b">
        <v>0</v>
      </c>
      <c r="K305" s="18" t="str">
        <f t="shared" si="22"/>
        <v>Moderate</v>
      </c>
      <c r="L305" s="18">
        <v>0.63400000000000001</v>
      </c>
      <c r="M305" s="18" t="str">
        <f t="shared" si="23"/>
        <v>Low Energy</v>
      </c>
      <c r="N305" s="18">
        <v>0.26700000000000002</v>
      </c>
      <c r="O305" s="18">
        <v>11</v>
      </c>
      <c r="P305" s="18">
        <v>-7.3959999999999999</v>
      </c>
      <c r="Q305" s="18">
        <v>1</v>
      </c>
      <c r="R305" s="18">
        <v>4.3999999999999997E-2</v>
      </c>
      <c r="S305" s="18">
        <v>0.84099999999999997</v>
      </c>
      <c r="T305" s="18">
        <v>0</v>
      </c>
      <c r="U305" s="18">
        <v>0.11</v>
      </c>
      <c r="V305" s="18">
        <v>0.39100000000000001</v>
      </c>
      <c r="W305" s="18">
        <v>143.51400000000001</v>
      </c>
      <c r="X305" s="18">
        <v>4</v>
      </c>
      <c r="Y305" s="19" t="s">
        <v>4</v>
      </c>
    </row>
    <row r="306" spans="1:25" x14ac:dyDescent="0.3">
      <c r="A306" s="14" t="s">
        <v>918</v>
      </c>
      <c r="B306" s="15" t="s">
        <v>919</v>
      </c>
      <c r="C306" s="15" t="s">
        <v>72</v>
      </c>
      <c r="D306" s="15" t="s">
        <v>920</v>
      </c>
      <c r="E306" s="15" t="str">
        <f t="shared" si="19"/>
        <v>Average</v>
      </c>
      <c r="F306" s="15">
        <v>54</v>
      </c>
      <c r="G306" s="30">
        <f t="shared" si="20"/>
        <v>40.698</v>
      </c>
      <c r="H306" s="15">
        <v>244188</v>
      </c>
      <c r="I306" s="15" t="str">
        <f t="shared" si="21"/>
        <v>Clean</v>
      </c>
      <c r="J306" s="15" t="b">
        <v>0</v>
      </c>
      <c r="K306" s="15" t="str">
        <f t="shared" si="22"/>
        <v>Moderate</v>
      </c>
      <c r="L306" s="15">
        <v>0.69399999999999995</v>
      </c>
      <c r="M306" s="15" t="str">
        <f t="shared" si="23"/>
        <v>Medium Energy</v>
      </c>
      <c r="N306" s="15">
        <v>0.47099999999999997</v>
      </c>
      <c r="O306" s="15">
        <v>8</v>
      </c>
      <c r="P306" s="15">
        <v>-8.6199999999999992</v>
      </c>
      <c r="Q306" s="15">
        <v>1</v>
      </c>
      <c r="R306" s="15">
        <v>2.81E-2</v>
      </c>
      <c r="S306" s="15">
        <v>0.41099999999999998</v>
      </c>
      <c r="T306" s="15">
        <v>0</v>
      </c>
      <c r="U306" s="15">
        <v>0.23300000000000001</v>
      </c>
      <c r="V306" s="15">
        <v>0.46600000000000003</v>
      </c>
      <c r="W306" s="15">
        <v>95.003</v>
      </c>
      <c r="X306" s="15">
        <v>4</v>
      </c>
      <c r="Y306" s="16" t="s">
        <v>4</v>
      </c>
    </row>
    <row r="307" spans="1:25" x14ac:dyDescent="0.3">
      <c r="A307" s="17" t="s">
        <v>921</v>
      </c>
      <c r="B307" s="18" t="s">
        <v>922</v>
      </c>
      <c r="C307" s="18" t="s">
        <v>923</v>
      </c>
      <c r="D307" s="18" t="s">
        <v>923</v>
      </c>
      <c r="E307" s="18" t="str">
        <f t="shared" si="19"/>
        <v>Average</v>
      </c>
      <c r="F307" s="18">
        <v>55</v>
      </c>
      <c r="G307" s="30">
        <f t="shared" si="20"/>
        <v>27.511166666666668</v>
      </c>
      <c r="H307" s="18">
        <v>165067</v>
      </c>
      <c r="I307" s="18" t="str">
        <f t="shared" si="21"/>
        <v>Clean</v>
      </c>
      <c r="J307" s="18" t="b">
        <v>0</v>
      </c>
      <c r="K307" s="18" t="str">
        <f t="shared" si="22"/>
        <v>Moderate</v>
      </c>
      <c r="L307" s="18">
        <v>0.64300000000000002</v>
      </c>
      <c r="M307" s="18" t="str">
        <f t="shared" si="23"/>
        <v>Low Energy</v>
      </c>
      <c r="N307" s="18">
        <v>0.11</v>
      </c>
      <c r="O307" s="18">
        <v>6</v>
      </c>
      <c r="P307" s="18">
        <v>-14.28</v>
      </c>
      <c r="Q307" s="18">
        <v>1</v>
      </c>
      <c r="R307" s="18">
        <v>2.9399999999999999E-2</v>
      </c>
      <c r="S307" s="18">
        <v>0.876</v>
      </c>
      <c r="T307" s="21" t="s">
        <v>924</v>
      </c>
      <c r="U307" s="18">
        <v>0.112</v>
      </c>
      <c r="V307" s="18">
        <v>0.152</v>
      </c>
      <c r="W307" s="18">
        <v>101.995</v>
      </c>
      <c r="X307" s="18">
        <v>4</v>
      </c>
      <c r="Y307" s="19" t="s">
        <v>4</v>
      </c>
    </row>
    <row r="308" spans="1:25" x14ac:dyDescent="0.3">
      <c r="A308" s="14" t="s">
        <v>925</v>
      </c>
      <c r="B308" s="15" t="s">
        <v>179</v>
      </c>
      <c r="C308" s="15" t="s">
        <v>926</v>
      </c>
      <c r="D308" s="15" t="s">
        <v>926</v>
      </c>
      <c r="E308" s="15" t="str">
        <f t="shared" si="19"/>
        <v>Low</v>
      </c>
      <c r="F308" s="15">
        <v>39</v>
      </c>
      <c r="G308" s="30">
        <f t="shared" si="20"/>
        <v>34.761833333333335</v>
      </c>
      <c r="H308" s="15">
        <v>208571</v>
      </c>
      <c r="I308" s="15" t="str">
        <f t="shared" si="21"/>
        <v>Clean</v>
      </c>
      <c r="J308" s="15" t="b">
        <v>0</v>
      </c>
      <c r="K308" s="15" t="str">
        <f t="shared" si="22"/>
        <v>Moderate</v>
      </c>
      <c r="L308" s="15">
        <v>0.42199999999999999</v>
      </c>
      <c r="M308" s="15" t="str">
        <f t="shared" si="23"/>
        <v>Medium Energy</v>
      </c>
      <c r="N308" s="15">
        <v>0.41</v>
      </c>
      <c r="O308" s="15">
        <v>6</v>
      </c>
      <c r="P308" s="15">
        <v>-14.151</v>
      </c>
      <c r="Q308" s="15">
        <v>0</v>
      </c>
      <c r="R308" s="15">
        <v>4.6699999999999998E-2</v>
      </c>
      <c r="S308" s="15">
        <v>8.5500000000000003E-3</v>
      </c>
      <c r="T308" s="15">
        <v>0</v>
      </c>
      <c r="U308" s="15">
        <v>0.104</v>
      </c>
      <c r="V308" s="15">
        <v>0.35399999999999998</v>
      </c>
      <c r="W308" s="15">
        <v>83.951999999999998</v>
      </c>
      <c r="X308" s="15">
        <v>4</v>
      </c>
      <c r="Y308" s="16" t="s">
        <v>4</v>
      </c>
    </row>
    <row r="309" spans="1:25" x14ac:dyDescent="0.3">
      <c r="A309" s="17" t="s">
        <v>927</v>
      </c>
      <c r="B309" s="18" t="s">
        <v>928</v>
      </c>
      <c r="C309" s="18" t="s">
        <v>929</v>
      </c>
      <c r="D309" s="18" t="s">
        <v>930</v>
      </c>
      <c r="E309" s="18" t="str">
        <f t="shared" si="19"/>
        <v>Average</v>
      </c>
      <c r="F309" s="18">
        <v>51</v>
      </c>
      <c r="G309" s="30">
        <f t="shared" si="20"/>
        <v>31.54</v>
      </c>
      <c r="H309" s="18">
        <v>189240</v>
      </c>
      <c r="I309" s="18" t="str">
        <f t="shared" si="21"/>
        <v>Clean</v>
      </c>
      <c r="J309" s="18" t="b">
        <v>0</v>
      </c>
      <c r="K309" s="18" t="str">
        <f t="shared" si="22"/>
        <v>Moderate</v>
      </c>
      <c r="L309" s="18">
        <v>0.54300000000000004</v>
      </c>
      <c r="M309" s="18" t="str">
        <f t="shared" si="23"/>
        <v>Low Energy</v>
      </c>
      <c r="N309" s="18">
        <v>0.28799999999999998</v>
      </c>
      <c r="O309" s="18">
        <v>0</v>
      </c>
      <c r="P309" s="18">
        <v>-8.6080000000000005</v>
      </c>
      <c r="Q309" s="18">
        <v>0</v>
      </c>
      <c r="R309" s="18">
        <v>2.58E-2</v>
      </c>
      <c r="S309" s="18">
        <v>0.66700000000000004</v>
      </c>
      <c r="T309" s="18">
        <v>0</v>
      </c>
      <c r="U309" s="18">
        <v>0.113</v>
      </c>
      <c r="V309" s="18">
        <v>0.29299999999999998</v>
      </c>
      <c r="W309" s="18">
        <v>95.435000000000002</v>
      </c>
      <c r="X309" s="18">
        <v>4</v>
      </c>
      <c r="Y309" s="19" t="s">
        <v>4</v>
      </c>
    </row>
    <row r="310" spans="1:25" x14ac:dyDescent="0.3">
      <c r="A310" s="14" t="s">
        <v>931</v>
      </c>
      <c r="B310" s="15" t="s">
        <v>932</v>
      </c>
      <c r="C310" s="15" t="s">
        <v>933</v>
      </c>
      <c r="D310" s="15" t="s">
        <v>934</v>
      </c>
      <c r="E310" s="15" t="str">
        <f t="shared" si="19"/>
        <v>Average</v>
      </c>
      <c r="F310" s="15">
        <v>52</v>
      </c>
      <c r="G310" s="30">
        <f t="shared" si="20"/>
        <v>30.4255</v>
      </c>
      <c r="H310" s="15">
        <v>182553</v>
      </c>
      <c r="I310" s="15" t="str">
        <f t="shared" si="21"/>
        <v>Clean</v>
      </c>
      <c r="J310" s="15" t="b">
        <v>0</v>
      </c>
      <c r="K310" s="15" t="str">
        <f t="shared" si="22"/>
        <v>Low</v>
      </c>
      <c r="L310" s="15">
        <v>0.33200000000000002</v>
      </c>
      <c r="M310" s="15" t="str">
        <f t="shared" si="23"/>
        <v>Low Energy</v>
      </c>
      <c r="N310" s="15">
        <v>0.28199999999999997</v>
      </c>
      <c r="O310" s="15">
        <v>7</v>
      </c>
      <c r="P310" s="15">
        <v>-7.2569999999999997</v>
      </c>
      <c r="Q310" s="15">
        <v>1</v>
      </c>
      <c r="R310" s="15">
        <v>4.3999999999999997E-2</v>
      </c>
      <c r="S310" s="15">
        <v>0.82499999999999996</v>
      </c>
      <c r="T310" s="15">
        <v>0</v>
      </c>
      <c r="U310" s="15">
        <v>0.104</v>
      </c>
      <c r="V310" s="15">
        <v>0.23400000000000001</v>
      </c>
      <c r="W310" s="15">
        <v>187.05699999999999</v>
      </c>
      <c r="X310" s="15">
        <v>4</v>
      </c>
      <c r="Y310" s="16" t="s">
        <v>4</v>
      </c>
    </row>
    <row r="311" spans="1:25" x14ac:dyDescent="0.3">
      <c r="A311" s="17" t="s">
        <v>935</v>
      </c>
      <c r="B311" s="18" t="s">
        <v>644</v>
      </c>
      <c r="C311" s="18" t="s">
        <v>936</v>
      </c>
      <c r="D311" s="18" t="s">
        <v>937</v>
      </c>
      <c r="E311" s="18" t="str">
        <f t="shared" si="19"/>
        <v>Average</v>
      </c>
      <c r="F311" s="18">
        <v>56</v>
      </c>
      <c r="G311" s="30">
        <f t="shared" si="20"/>
        <v>30.515499999999999</v>
      </c>
      <c r="H311" s="18">
        <v>183093</v>
      </c>
      <c r="I311" s="18" t="str">
        <f t="shared" si="21"/>
        <v>Clean</v>
      </c>
      <c r="J311" s="18" t="b">
        <v>0</v>
      </c>
      <c r="K311" s="18" t="str">
        <f t="shared" si="22"/>
        <v>Moderate</v>
      </c>
      <c r="L311" s="18">
        <v>0.43</v>
      </c>
      <c r="M311" s="18" t="str">
        <f t="shared" si="23"/>
        <v>Low Energy</v>
      </c>
      <c r="N311" s="18">
        <v>0.121</v>
      </c>
      <c r="O311" s="18">
        <v>10</v>
      </c>
      <c r="P311" s="18">
        <v>-15.148</v>
      </c>
      <c r="Q311" s="18">
        <v>1</v>
      </c>
      <c r="R311" s="18">
        <v>4.0399999999999998E-2</v>
      </c>
      <c r="S311" s="18">
        <v>0.90800000000000003</v>
      </c>
      <c r="T311" s="18">
        <v>0</v>
      </c>
      <c r="U311" s="18">
        <v>0.161</v>
      </c>
      <c r="V311" s="18">
        <v>0.46100000000000002</v>
      </c>
      <c r="W311" s="18">
        <v>91.210999999999999</v>
      </c>
      <c r="X311" s="18">
        <v>4</v>
      </c>
      <c r="Y311" s="19" t="s">
        <v>4</v>
      </c>
    </row>
    <row r="312" spans="1:25" x14ac:dyDescent="0.3">
      <c r="A312" s="14" t="s">
        <v>938</v>
      </c>
      <c r="B312" s="15" t="s">
        <v>939</v>
      </c>
      <c r="C312" s="15" t="s">
        <v>940</v>
      </c>
      <c r="D312" s="15" t="s">
        <v>941</v>
      </c>
      <c r="E312" s="15" t="str">
        <f t="shared" si="19"/>
        <v>Average</v>
      </c>
      <c r="F312" s="15">
        <v>48</v>
      </c>
      <c r="G312" s="30">
        <f t="shared" si="20"/>
        <v>40.620666666666665</v>
      </c>
      <c r="H312" s="15">
        <v>243724</v>
      </c>
      <c r="I312" s="15" t="str">
        <f t="shared" si="21"/>
        <v>Clean</v>
      </c>
      <c r="J312" s="15" t="b">
        <v>0</v>
      </c>
      <c r="K312" s="15" t="str">
        <f t="shared" si="22"/>
        <v>Moderate</v>
      </c>
      <c r="L312" s="15">
        <v>0.432</v>
      </c>
      <c r="M312" s="15" t="str">
        <f t="shared" si="23"/>
        <v>Low Energy</v>
      </c>
      <c r="N312" s="15">
        <v>0.19700000000000001</v>
      </c>
      <c r="O312" s="15">
        <v>3</v>
      </c>
      <c r="P312" s="15">
        <v>-9.2509999999999994</v>
      </c>
      <c r="Q312" s="15">
        <v>1</v>
      </c>
      <c r="R312" s="15">
        <v>4.1399999999999999E-2</v>
      </c>
      <c r="S312" s="15">
        <v>0.87</v>
      </c>
      <c r="T312" s="15">
        <v>0</v>
      </c>
      <c r="U312" s="15">
        <v>0.11</v>
      </c>
      <c r="V312" s="15">
        <v>0.34799999999999998</v>
      </c>
      <c r="W312" s="15">
        <v>163.98500000000001</v>
      </c>
      <c r="X312" s="15">
        <v>4</v>
      </c>
      <c r="Y312" s="16" t="s">
        <v>4</v>
      </c>
    </row>
    <row r="313" spans="1:25" x14ac:dyDescent="0.3">
      <c r="A313" s="17" t="s">
        <v>942</v>
      </c>
      <c r="B313" s="18" t="s">
        <v>336</v>
      </c>
      <c r="C313" s="18" t="s">
        <v>337</v>
      </c>
      <c r="D313" s="18" t="s">
        <v>337</v>
      </c>
      <c r="E313" s="18" t="str">
        <f t="shared" si="19"/>
        <v>Average</v>
      </c>
      <c r="F313" s="18">
        <v>41</v>
      </c>
      <c r="G313" s="30">
        <f t="shared" si="20"/>
        <v>53.691000000000003</v>
      </c>
      <c r="H313" s="18">
        <v>322146</v>
      </c>
      <c r="I313" s="18" t="str">
        <f t="shared" si="21"/>
        <v>Clean</v>
      </c>
      <c r="J313" s="18" t="b">
        <v>0</v>
      </c>
      <c r="K313" s="18" t="str">
        <f t="shared" si="22"/>
        <v>Moderate</v>
      </c>
      <c r="L313" s="18">
        <v>0.59199999999999997</v>
      </c>
      <c r="M313" s="18" t="str">
        <f t="shared" si="23"/>
        <v>High Energy</v>
      </c>
      <c r="N313" s="18">
        <v>0.76900000000000002</v>
      </c>
      <c r="O313" s="18">
        <v>2</v>
      </c>
      <c r="P313" s="18">
        <v>-5.2679999999999998</v>
      </c>
      <c r="Q313" s="18">
        <v>1</v>
      </c>
      <c r="R313" s="18">
        <v>3.1099999999999999E-2</v>
      </c>
      <c r="S313" s="18">
        <v>0.31900000000000001</v>
      </c>
      <c r="T313" s="21" t="s">
        <v>338</v>
      </c>
      <c r="U313" s="18">
        <v>0.13700000000000001</v>
      </c>
      <c r="V313" s="18">
        <v>0.38500000000000001</v>
      </c>
      <c r="W313" s="18">
        <v>102.033</v>
      </c>
      <c r="X313" s="18">
        <v>4</v>
      </c>
      <c r="Y313" s="19" t="s">
        <v>4</v>
      </c>
    </row>
    <row r="314" spans="1:25" x14ac:dyDescent="0.3">
      <c r="A314" s="14" t="s">
        <v>943</v>
      </c>
      <c r="B314" s="15" t="s">
        <v>6</v>
      </c>
      <c r="C314" s="15" t="s">
        <v>944</v>
      </c>
      <c r="D314" s="15" t="s">
        <v>944</v>
      </c>
      <c r="E314" s="15" t="str">
        <f t="shared" si="19"/>
        <v>Average</v>
      </c>
      <c r="F314" s="15">
        <v>40</v>
      </c>
      <c r="G314" s="30">
        <f t="shared" si="20"/>
        <v>34.925666666666665</v>
      </c>
      <c r="H314" s="15">
        <v>209554</v>
      </c>
      <c r="I314" s="15" t="str">
        <f t="shared" si="21"/>
        <v>Clean</v>
      </c>
      <c r="J314" s="15" t="b">
        <v>0</v>
      </c>
      <c r="K314" s="15" t="str">
        <f t="shared" si="22"/>
        <v>Very Danceable</v>
      </c>
      <c r="L314" s="15">
        <v>0.73299999999999998</v>
      </c>
      <c r="M314" s="15" t="str">
        <f t="shared" si="23"/>
        <v>Low Energy</v>
      </c>
      <c r="N314" s="15">
        <v>0.29699999999999999</v>
      </c>
      <c r="O314" s="15">
        <v>5</v>
      </c>
      <c r="P314" s="15">
        <v>-14.452</v>
      </c>
      <c r="Q314" s="15">
        <v>1</v>
      </c>
      <c r="R314" s="15">
        <v>3.5900000000000001E-2</v>
      </c>
      <c r="S314" s="15">
        <v>0.93500000000000005</v>
      </c>
      <c r="T314" s="20" t="s">
        <v>945</v>
      </c>
      <c r="U314" s="15">
        <v>0.108</v>
      </c>
      <c r="V314" s="15">
        <v>0.76600000000000001</v>
      </c>
      <c r="W314" s="15">
        <v>103.953</v>
      </c>
      <c r="X314" s="15">
        <v>4</v>
      </c>
      <c r="Y314" s="16" t="s">
        <v>4</v>
      </c>
    </row>
    <row r="315" spans="1:25" x14ac:dyDescent="0.3">
      <c r="A315" s="17" t="s">
        <v>946</v>
      </c>
      <c r="B315" s="18" t="s">
        <v>14</v>
      </c>
      <c r="C315" s="18" t="s">
        <v>947</v>
      </c>
      <c r="D315" s="18" t="s">
        <v>948</v>
      </c>
      <c r="E315" s="18" t="str">
        <f t="shared" si="19"/>
        <v>Average</v>
      </c>
      <c r="F315" s="18">
        <v>57</v>
      </c>
      <c r="G315" s="30">
        <f t="shared" si="20"/>
        <v>33.067166666666665</v>
      </c>
      <c r="H315" s="18">
        <v>198403</v>
      </c>
      <c r="I315" s="18" t="str">
        <f t="shared" si="21"/>
        <v>Clean</v>
      </c>
      <c r="J315" s="18" t="b">
        <v>0</v>
      </c>
      <c r="K315" s="18" t="str">
        <f t="shared" si="22"/>
        <v>Low</v>
      </c>
      <c r="L315" s="18">
        <v>0.39400000000000002</v>
      </c>
      <c r="M315" s="18" t="str">
        <f t="shared" si="23"/>
        <v>Low Energy</v>
      </c>
      <c r="N315" s="18">
        <v>0.249</v>
      </c>
      <c r="O315" s="18">
        <v>5</v>
      </c>
      <c r="P315" s="18">
        <v>-10.484</v>
      </c>
      <c r="Q315" s="18">
        <v>1</v>
      </c>
      <c r="R315" s="18">
        <v>3.9600000000000003E-2</v>
      </c>
      <c r="S315" s="18">
        <v>0.92700000000000005</v>
      </c>
      <c r="T315" s="18">
        <v>0</v>
      </c>
      <c r="U315" s="18">
        <v>0.115</v>
      </c>
      <c r="V315" s="18">
        <v>0.32900000000000001</v>
      </c>
      <c r="W315" s="18">
        <v>79.549000000000007</v>
      </c>
      <c r="X315" s="18">
        <v>4</v>
      </c>
      <c r="Y315" s="19" t="s">
        <v>4</v>
      </c>
    </row>
    <row r="316" spans="1:25" x14ac:dyDescent="0.3">
      <c r="A316" s="14" t="s">
        <v>949</v>
      </c>
      <c r="B316" s="15" t="s">
        <v>950</v>
      </c>
      <c r="C316" s="15" t="s">
        <v>951</v>
      </c>
      <c r="D316" s="15" t="s">
        <v>952</v>
      </c>
      <c r="E316" s="15" t="str">
        <f t="shared" si="19"/>
        <v>Average</v>
      </c>
      <c r="F316" s="15">
        <v>53</v>
      </c>
      <c r="G316" s="30">
        <f t="shared" si="20"/>
        <v>11.291</v>
      </c>
      <c r="H316" s="15">
        <v>67746</v>
      </c>
      <c r="I316" s="15" t="str">
        <f t="shared" si="21"/>
        <v>Clean</v>
      </c>
      <c r="J316" s="15" t="b">
        <v>0</v>
      </c>
      <c r="K316" s="15" t="str">
        <f t="shared" si="22"/>
        <v>Moderate</v>
      </c>
      <c r="L316" s="15">
        <v>0.41</v>
      </c>
      <c r="M316" s="15" t="str">
        <f t="shared" si="23"/>
        <v>Low Energy</v>
      </c>
      <c r="N316" s="15">
        <v>0.23400000000000001</v>
      </c>
      <c r="O316" s="15">
        <v>1</v>
      </c>
      <c r="P316" s="15">
        <v>-15.236000000000001</v>
      </c>
      <c r="Q316" s="15">
        <v>1</v>
      </c>
      <c r="R316" s="15">
        <v>4.2099999999999999E-2</v>
      </c>
      <c r="S316" s="15">
        <v>0.79800000000000004</v>
      </c>
      <c r="T316" s="15">
        <v>3.0400000000000002E-3</v>
      </c>
      <c r="U316" s="15">
        <v>0.108</v>
      </c>
      <c r="V316" s="15">
        <v>0.19</v>
      </c>
      <c r="W316" s="15">
        <v>93.72</v>
      </c>
      <c r="X316" s="15">
        <v>4</v>
      </c>
      <c r="Y316" s="16" t="s">
        <v>4</v>
      </c>
    </row>
    <row r="317" spans="1:25" x14ac:dyDescent="0.3">
      <c r="A317" s="17" t="s">
        <v>953</v>
      </c>
      <c r="B317" s="18" t="s">
        <v>954</v>
      </c>
      <c r="C317" s="18" t="s">
        <v>955</v>
      </c>
      <c r="D317" s="18" t="s">
        <v>955</v>
      </c>
      <c r="E317" s="18" t="str">
        <f t="shared" si="19"/>
        <v>Low</v>
      </c>
      <c r="F317" s="18">
        <v>30</v>
      </c>
      <c r="G317" s="30">
        <f t="shared" si="20"/>
        <v>21.505333333333333</v>
      </c>
      <c r="H317" s="18">
        <v>129032</v>
      </c>
      <c r="I317" s="18" t="str">
        <f t="shared" si="21"/>
        <v>Clean</v>
      </c>
      <c r="J317" s="18" t="b">
        <v>0</v>
      </c>
      <c r="K317" s="18" t="str">
        <f t="shared" si="22"/>
        <v>Moderate</v>
      </c>
      <c r="L317" s="18">
        <v>0.48</v>
      </c>
      <c r="M317" s="18" t="str">
        <f t="shared" si="23"/>
        <v>Low Energy</v>
      </c>
      <c r="N317" s="18">
        <v>0.158</v>
      </c>
      <c r="O317" s="18">
        <v>8</v>
      </c>
      <c r="P317" s="18">
        <v>-15.239000000000001</v>
      </c>
      <c r="Q317" s="18">
        <v>1</v>
      </c>
      <c r="R317" s="18">
        <v>8.0699999999999994E-2</v>
      </c>
      <c r="S317" s="18">
        <v>0.80900000000000005</v>
      </c>
      <c r="T317" s="18">
        <v>0.88600000000000001</v>
      </c>
      <c r="U317" s="18">
        <v>0.11700000000000001</v>
      </c>
      <c r="V317" s="18">
        <v>0.498</v>
      </c>
      <c r="W317" s="18">
        <v>86.106999999999999</v>
      </c>
      <c r="X317" s="18">
        <v>4</v>
      </c>
      <c r="Y317" s="19" t="s">
        <v>4</v>
      </c>
    </row>
    <row r="318" spans="1:25" x14ac:dyDescent="0.3">
      <c r="A318" s="14" t="s">
        <v>956</v>
      </c>
      <c r="B318" s="15" t="s">
        <v>37</v>
      </c>
      <c r="C318" s="15" t="s">
        <v>957</v>
      </c>
      <c r="D318" s="15" t="s">
        <v>957</v>
      </c>
      <c r="E318" s="15" t="str">
        <f t="shared" si="19"/>
        <v>Average</v>
      </c>
      <c r="F318" s="15">
        <v>49</v>
      </c>
      <c r="G318" s="30">
        <f t="shared" si="20"/>
        <v>36.334000000000003</v>
      </c>
      <c r="H318" s="15">
        <v>218004</v>
      </c>
      <c r="I318" s="15" t="str">
        <f t="shared" si="21"/>
        <v>Clean</v>
      </c>
      <c r="J318" s="15" t="b">
        <v>0</v>
      </c>
      <c r="K318" s="15" t="str">
        <f t="shared" si="22"/>
        <v>Low</v>
      </c>
      <c r="L318" s="15">
        <v>0.255</v>
      </c>
      <c r="M318" s="15" t="str">
        <f t="shared" si="23"/>
        <v>Medium Energy</v>
      </c>
      <c r="N318" s="15">
        <v>0.625</v>
      </c>
      <c r="O318" s="15">
        <v>0</v>
      </c>
      <c r="P318" s="15">
        <v>-8.31</v>
      </c>
      <c r="Q318" s="15">
        <v>1</v>
      </c>
      <c r="R318" s="15">
        <v>3.2300000000000002E-2</v>
      </c>
      <c r="S318" s="15">
        <v>0.63</v>
      </c>
      <c r="T318" s="15">
        <v>2.1100000000000001E-4</v>
      </c>
      <c r="U318" s="15">
        <v>9.7600000000000006E-2</v>
      </c>
      <c r="V318" s="15">
        <v>0.191</v>
      </c>
      <c r="W318" s="15">
        <v>84.611000000000004</v>
      </c>
      <c r="X318" s="15">
        <v>4</v>
      </c>
      <c r="Y318" s="16" t="s">
        <v>4</v>
      </c>
    </row>
    <row r="319" spans="1:25" x14ac:dyDescent="0.3">
      <c r="A319" s="17" t="s">
        <v>958</v>
      </c>
      <c r="B319" s="18" t="s">
        <v>959</v>
      </c>
      <c r="C319" s="18" t="s">
        <v>202</v>
      </c>
      <c r="D319" s="18" t="s">
        <v>960</v>
      </c>
      <c r="E319" s="18" t="str">
        <f t="shared" si="19"/>
        <v>Low</v>
      </c>
      <c r="F319" s="18">
        <v>26</v>
      </c>
      <c r="G319" s="30">
        <f t="shared" si="20"/>
        <v>37.151833333333336</v>
      </c>
      <c r="H319" s="18">
        <v>222911</v>
      </c>
      <c r="I319" s="18" t="str">
        <f t="shared" si="21"/>
        <v>Clean</v>
      </c>
      <c r="J319" s="18" t="b">
        <v>0</v>
      </c>
      <c r="K319" s="18" t="str">
        <f t="shared" si="22"/>
        <v>Moderate</v>
      </c>
      <c r="L319" s="18">
        <v>0.52400000000000002</v>
      </c>
      <c r="M319" s="18" t="str">
        <f t="shared" si="23"/>
        <v>Low Energy</v>
      </c>
      <c r="N319" s="18">
        <v>0.32800000000000001</v>
      </c>
      <c r="O319" s="18">
        <v>11</v>
      </c>
      <c r="P319" s="18">
        <v>-10.000999999999999</v>
      </c>
      <c r="Q319" s="18">
        <v>1</v>
      </c>
      <c r="R319" s="18">
        <v>4.0300000000000002E-2</v>
      </c>
      <c r="S319" s="18">
        <v>0.81699999999999995</v>
      </c>
      <c r="T319" s="18">
        <v>0</v>
      </c>
      <c r="U319" s="18">
        <v>0.11799999999999999</v>
      </c>
      <c r="V319" s="18">
        <v>0.59899999999999998</v>
      </c>
      <c r="W319" s="18">
        <v>99.941000000000003</v>
      </c>
      <c r="X319" s="18">
        <v>4</v>
      </c>
      <c r="Y319" s="19" t="s">
        <v>4</v>
      </c>
    </row>
    <row r="320" spans="1:25" x14ac:dyDescent="0.3">
      <c r="A320" s="14" t="s">
        <v>961</v>
      </c>
      <c r="B320" s="15" t="s">
        <v>962</v>
      </c>
      <c r="C320" s="15" t="s">
        <v>963</v>
      </c>
      <c r="D320" s="15" t="s">
        <v>964</v>
      </c>
      <c r="E320" s="15" t="str">
        <f t="shared" si="19"/>
        <v>Average</v>
      </c>
      <c r="F320" s="15">
        <v>53</v>
      </c>
      <c r="G320" s="30">
        <f t="shared" si="20"/>
        <v>34.448833333333333</v>
      </c>
      <c r="H320" s="15">
        <v>206693</v>
      </c>
      <c r="I320" s="15" t="str">
        <f t="shared" si="21"/>
        <v>Clean</v>
      </c>
      <c r="J320" s="15" t="b">
        <v>0</v>
      </c>
      <c r="K320" s="15" t="str">
        <f t="shared" si="22"/>
        <v>Moderate</v>
      </c>
      <c r="L320" s="15">
        <v>0.46400000000000002</v>
      </c>
      <c r="M320" s="15" t="str">
        <f t="shared" si="23"/>
        <v>Medium Energy</v>
      </c>
      <c r="N320" s="15">
        <v>0.65300000000000002</v>
      </c>
      <c r="O320" s="15">
        <v>6</v>
      </c>
      <c r="P320" s="15">
        <v>-7.5140000000000002</v>
      </c>
      <c r="Q320" s="15">
        <v>1</v>
      </c>
      <c r="R320" s="15">
        <v>0.10100000000000001</v>
      </c>
      <c r="S320" s="15">
        <v>0.19900000000000001</v>
      </c>
      <c r="T320" s="15">
        <v>0</v>
      </c>
      <c r="U320" s="15">
        <v>9.7900000000000001E-2</v>
      </c>
      <c r="V320" s="15">
        <v>0.41599999999999998</v>
      </c>
      <c r="W320" s="15">
        <v>162.196</v>
      </c>
      <c r="X320" s="15">
        <v>4</v>
      </c>
      <c r="Y320" s="16" t="s">
        <v>4</v>
      </c>
    </row>
    <row r="321" spans="1:25" x14ac:dyDescent="0.3">
      <c r="A321" s="17" t="s">
        <v>965</v>
      </c>
      <c r="B321" s="18" t="s">
        <v>319</v>
      </c>
      <c r="C321" s="18" t="s">
        <v>966</v>
      </c>
      <c r="D321" s="18" t="s">
        <v>967</v>
      </c>
      <c r="E321" s="18" t="str">
        <f t="shared" si="19"/>
        <v>Average</v>
      </c>
      <c r="F321" s="18">
        <v>52</v>
      </c>
      <c r="G321" s="30">
        <f t="shared" si="20"/>
        <v>41.163166666666669</v>
      </c>
      <c r="H321" s="18">
        <v>246979</v>
      </c>
      <c r="I321" s="18" t="str">
        <f t="shared" si="21"/>
        <v>Clean</v>
      </c>
      <c r="J321" s="18" t="b">
        <v>0</v>
      </c>
      <c r="K321" s="18" t="str">
        <f t="shared" si="22"/>
        <v>Moderate</v>
      </c>
      <c r="L321" s="18">
        <v>0.65900000000000003</v>
      </c>
      <c r="M321" s="18" t="str">
        <f t="shared" si="23"/>
        <v>Low Energy</v>
      </c>
      <c r="N321" s="18">
        <v>0.33100000000000002</v>
      </c>
      <c r="O321" s="18">
        <v>10</v>
      </c>
      <c r="P321" s="18">
        <v>-8.9870000000000001</v>
      </c>
      <c r="Q321" s="18">
        <v>1</v>
      </c>
      <c r="R321" s="18">
        <v>3.2099999999999997E-2</v>
      </c>
      <c r="S321" s="18">
        <v>0.80900000000000005</v>
      </c>
      <c r="T321" s="18">
        <v>0</v>
      </c>
      <c r="U321" s="18">
        <v>9.9599999999999994E-2</v>
      </c>
      <c r="V321" s="18">
        <v>8.77E-2</v>
      </c>
      <c r="W321" s="18">
        <v>105.01</v>
      </c>
      <c r="X321" s="18">
        <v>4</v>
      </c>
      <c r="Y321" s="19" t="s">
        <v>4</v>
      </c>
    </row>
    <row r="322" spans="1:25" x14ac:dyDescent="0.3">
      <c r="A322" s="14" t="s">
        <v>968</v>
      </c>
      <c r="B322" s="15" t="s">
        <v>40</v>
      </c>
      <c r="C322" s="15" t="s">
        <v>41</v>
      </c>
      <c r="D322" s="15" t="s">
        <v>969</v>
      </c>
      <c r="E322" s="15" t="str">
        <f t="shared" ref="E322:E385" si="24">IF( F322&gt;=80,"Hit",
IF(F322&gt;=60,"Popular",
IF( F322&gt;=40,"Average","Low")))</f>
        <v>Average</v>
      </c>
      <c r="F322" s="15">
        <v>51</v>
      </c>
      <c r="G322" s="30">
        <f t="shared" ref="G322:G385" si="25">H322/6000</f>
        <v>47.158333333333331</v>
      </c>
      <c r="H322" s="15">
        <v>282950</v>
      </c>
      <c r="I322" s="15" t="str">
        <f t="shared" ref="I322:I385" si="26">IF(E322=TRUE,"Explicit","Clean")</f>
        <v>Clean</v>
      </c>
      <c r="J322" s="15" t="b">
        <v>0</v>
      </c>
      <c r="K322" s="15" t="str">
        <f t="shared" ref="K322:K385" si="27">IF(L322&gt;=0.7,"Very Danceable",
IF( L322&gt;=0.4,"Moderate","Low"))</f>
        <v>Moderate</v>
      </c>
      <c r="L322" s="15">
        <v>0.59199999999999997</v>
      </c>
      <c r="M322" s="15" t="str">
        <f t="shared" ref="M322:M385" si="28">IF( N322&gt;=0.7,"High Energy",
IF( N322&gt;=0.4,"Medium Energy","Low Energy"))</f>
        <v>Medium Energy</v>
      </c>
      <c r="N322" s="15">
        <v>0.49</v>
      </c>
      <c r="O322" s="15">
        <v>10</v>
      </c>
      <c r="P322" s="15">
        <v>-8.5079999999999991</v>
      </c>
      <c r="Q322" s="15">
        <v>1</v>
      </c>
      <c r="R322" s="15">
        <v>2.63E-2</v>
      </c>
      <c r="S322" s="15">
        <v>0.39500000000000002</v>
      </c>
      <c r="T322" s="15">
        <v>0</v>
      </c>
      <c r="U322" s="15">
        <v>0.33300000000000002</v>
      </c>
      <c r="V322" s="15">
        <v>0.437</v>
      </c>
      <c r="W322" s="15">
        <v>99.994</v>
      </c>
      <c r="X322" s="15">
        <v>4</v>
      </c>
      <c r="Y322" s="16" t="s">
        <v>4</v>
      </c>
    </row>
    <row r="323" spans="1:25" x14ac:dyDescent="0.3">
      <c r="A323" s="17" t="s">
        <v>970</v>
      </c>
      <c r="B323" s="18" t="s">
        <v>971</v>
      </c>
      <c r="C323" s="18" t="s">
        <v>972</v>
      </c>
      <c r="D323" s="18" t="s">
        <v>972</v>
      </c>
      <c r="E323" s="18" t="str">
        <f t="shared" si="24"/>
        <v>Low</v>
      </c>
      <c r="F323" s="18">
        <v>35</v>
      </c>
      <c r="G323" s="30">
        <f t="shared" si="25"/>
        <v>37.104333333333336</v>
      </c>
      <c r="H323" s="18">
        <v>222626</v>
      </c>
      <c r="I323" s="18" t="str">
        <f t="shared" si="26"/>
        <v>Clean</v>
      </c>
      <c r="J323" s="18" t="b">
        <v>0</v>
      </c>
      <c r="K323" s="18" t="str">
        <f t="shared" si="27"/>
        <v>Moderate</v>
      </c>
      <c r="L323" s="18">
        <v>0.46700000000000003</v>
      </c>
      <c r="M323" s="18" t="str">
        <f t="shared" si="28"/>
        <v>High Energy</v>
      </c>
      <c r="N323" s="18">
        <v>0.85099999999999998</v>
      </c>
      <c r="O323" s="18">
        <v>6</v>
      </c>
      <c r="P323" s="18">
        <v>-4.2030000000000003</v>
      </c>
      <c r="Q323" s="18">
        <v>1</v>
      </c>
      <c r="R323" s="18">
        <v>5.2600000000000001E-2</v>
      </c>
      <c r="S323" s="18">
        <v>3.5300000000000002E-4</v>
      </c>
      <c r="T323" s="18">
        <v>0</v>
      </c>
      <c r="U323" s="18">
        <v>0.33</v>
      </c>
      <c r="V323" s="18">
        <v>0.64400000000000002</v>
      </c>
      <c r="W323" s="18">
        <v>93.873000000000005</v>
      </c>
      <c r="X323" s="18">
        <v>4</v>
      </c>
      <c r="Y323" s="19" t="s">
        <v>4</v>
      </c>
    </row>
    <row r="324" spans="1:25" x14ac:dyDescent="0.3">
      <c r="A324" s="14" t="s">
        <v>973</v>
      </c>
      <c r="B324" s="15" t="s">
        <v>974</v>
      </c>
      <c r="C324" s="15" t="s">
        <v>975</v>
      </c>
      <c r="D324" s="15" t="s">
        <v>976</v>
      </c>
      <c r="E324" s="15" t="str">
        <f t="shared" si="24"/>
        <v>Average</v>
      </c>
      <c r="F324" s="15">
        <v>54</v>
      </c>
      <c r="G324" s="30">
        <f t="shared" si="25"/>
        <v>36.615333333333332</v>
      </c>
      <c r="H324" s="15">
        <v>219692</v>
      </c>
      <c r="I324" s="15" t="str">
        <f t="shared" si="26"/>
        <v>Clean</v>
      </c>
      <c r="J324" s="15" t="b">
        <v>0</v>
      </c>
      <c r="K324" s="15" t="str">
        <f t="shared" si="27"/>
        <v>Moderate</v>
      </c>
      <c r="L324" s="15">
        <v>0.56399999999999995</v>
      </c>
      <c r="M324" s="15" t="str">
        <f t="shared" si="28"/>
        <v>Low Energy</v>
      </c>
      <c r="N324" s="15">
        <v>0.39100000000000001</v>
      </c>
      <c r="O324" s="15">
        <v>5</v>
      </c>
      <c r="P324" s="15">
        <v>-7.6550000000000002</v>
      </c>
      <c r="Q324" s="15">
        <v>1</v>
      </c>
      <c r="R324" s="15">
        <v>3.1099999999999999E-2</v>
      </c>
      <c r="S324" s="15">
        <v>0.47799999999999998</v>
      </c>
      <c r="T324" s="15">
        <v>0</v>
      </c>
      <c r="U324" s="15">
        <v>0.127</v>
      </c>
      <c r="V324" s="15">
        <v>0.10100000000000001</v>
      </c>
      <c r="W324" s="15">
        <v>130.03</v>
      </c>
      <c r="X324" s="15">
        <v>4</v>
      </c>
      <c r="Y324" s="16" t="s">
        <v>4</v>
      </c>
    </row>
    <row r="325" spans="1:25" x14ac:dyDescent="0.3">
      <c r="A325" s="17" t="s">
        <v>977</v>
      </c>
      <c r="B325" s="18" t="s">
        <v>978</v>
      </c>
      <c r="C325" s="18" t="s">
        <v>979</v>
      </c>
      <c r="D325" s="18" t="s">
        <v>980</v>
      </c>
      <c r="E325" s="18" t="str">
        <f t="shared" si="24"/>
        <v>Average</v>
      </c>
      <c r="F325" s="18">
        <v>50</v>
      </c>
      <c r="G325" s="30">
        <f t="shared" si="25"/>
        <v>28.464333333333332</v>
      </c>
      <c r="H325" s="18">
        <v>170786</v>
      </c>
      <c r="I325" s="18" t="str">
        <f t="shared" si="26"/>
        <v>Clean</v>
      </c>
      <c r="J325" s="18" t="b">
        <v>0</v>
      </c>
      <c r="K325" s="18" t="str">
        <f t="shared" si="27"/>
        <v>Moderate</v>
      </c>
      <c r="L325" s="18">
        <v>0.498</v>
      </c>
      <c r="M325" s="18" t="str">
        <f t="shared" si="28"/>
        <v>Low Energy</v>
      </c>
      <c r="N325" s="18">
        <v>0.38400000000000001</v>
      </c>
      <c r="O325" s="18">
        <v>4</v>
      </c>
      <c r="P325" s="18">
        <v>-10.752000000000001</v>
      </c>
      <c r="Q325" s="18">
        <v>1</v>
      </c>
      <c r="R325" s="18">
        <v>9.7600000000000006E-2</v>
      </c>
      <c r="S325" s="18">
        <v>0.81799999999999995</v>
      </c>
      <c r="T325" s="18">
        <v>9.3700000000000001E-4</v>
      </c>
      <c r="U325" s="18">
        <v>0.13</v>
      </c>
      <c r="V325" s="18">
        <v>0.25</v>
      </c>
      <c r="W325" s="18">
        <v>79.855999999999995</v>
      </c>
      <c r="X325" s="18">
        <v>4</v>
      </c>
      <c r="Y325" s="19" t="s">
        <v>4</v>
      </c>
    </row>
    <row r="326" spans="1:25" x14ac:dyDescent="0.3">
      <c r="A326" s="14" t="s">
        <v>981</v>
      </c>
      <c r="B326" s="15" t="s">
        <v>982</v>
      </c>
      <c r="C326" s="15" t="s">
        <v>983</v>
      </c>
      <c r="D326" s="15" t="s">
        <v>984</v>
      </c>
      <c r="E326" s="15" t="str">
        <f t="shared" si="24"/>
        <v>Average</v>
      </c>
      <c r="F326" s="15">
        <v>53</v>
      </c>
      <c r="G326" s="30">
        <f t="shared" si="25"/>
        <v>11.688833333333333</v>
      </c>
      <c r="H326" s="15">
        <v>70133</v>
      </c>
      <c r="I326" s="15" t="str">
        <f t="shared" si="26"/>
        <v>Clean</v>
      </c>
      <c r="J326" s="15" t="b">
        <v>0</v>
      </c>
      <c r="K326" s="15" t="str">
        <f t="shared" si="27"/>
        <v>Low</v>
      </c>
      <c r="L326" s="15">
        <v>0.38600000000000001</v>
      </c>
      <c r="M326" s="15" t="str">
        <f t="shared" si="28"/>
        <v>Medium Energy</v>
      </c>
      <c r="N326" s="15">
        <v>0.42799999999999999</v>
      </c>
      <c r="O326" s="15">
        <v>10</v>
      </c>
      <c r="P326" s="15">
        <v>-9.9489999999999998</v>
      </c>
      <c r="Q326" s="15">
        <v>0</v>
      </c>
      <c r="R326" s="15">
        <v>2.9499999999999998E-2</v>
      </c>
      <c r="S326" s="15">
        <v>0.95099999999999996</v>
      </c>
      <c r="T326" s="15">
        <v>0.88200000000000001</v>
      </c>
      <c r="U326" s="15">
        <v>0.16200000000000001</v>
      </c>
      <c r="V326" s="15">
        <v>0.73</v>
      </c>
      <c r="W326" s="15">
        <v>172.31100000000001</v>
      </c>
      <c r="X326" s="15">
        <v>4</v>
      </c>
      <c r="Y326" s="16" t="s">
        <v>4</v>
      </c>
    </row>
    <row r="327" spans="1:25" x14ac:dyDescent="0.3">
      <c r="A327" s="17" t="s">
        <v>985</v>
      </c>
      <c r="B327" s="18" t="s">
        <v>19</v>
      </c>
      <c r="C327" s="18" t="s">
        <v>986</v>
      </c>
      <c r="D327" s="18" t="s">
        <v>987</v>
      </c>
      <c r="E327" s="18" t="str">
        <f t="shared" si="24"/>
        <v>Average</v>
      </c>
      <c r="F327" s="18">
        <v>48</v>
      </c>
      <c r="G327" s="30">
        <f t="shared" si="25"/>
        <v>33.390999999999998</v>
      </c>
      <c r="H327" s="18">
        <v>200346</v>
      </c>
      <c r="I327" s="18" t="str">
        <f t="shared" si="26"/>
        <v>Clean</v>
      </c>
      <c r="J327" s="18" t="b">
        <v>0</v>
      </c>
      <c r="K327" s="18" t="str">
        <f t="shared" si="27"/>
        <v>Very Danceable</v>
      </c>
      <c r="L327" s="18">
        <v>0.70199999999999996</v>
      </c>
      <c r="M327" s="18" t="str">
        <f t="shared" si="28"/>
        <v>Low Energy</v>
      </c>
      <c r="N327" s="18">
        <v>0.25900000000000001</v>
      </c>
      <c r="O327" s="18">
        <v>2</v>
      </c>
      <c r="P327" s="18">
        <v>-9.73</v>
      </c>
      <c r="Q327" s="18">
        <v>1</v>
      </c>
      <c r="R327" s="18">
        <v>4.0300000000000002E-2</v>
      </c>
      <c r="S327" s="18">
        <v>0.878</v>
      </c>
      <c r="T327" s="21" t="s">
        <v>988</v>
      </c>
      <c r="U327" s="18">
        <v>0.108</v>
      </c>
      <c r="V327" s="18">
        <v>0.246</v>
      </c>
      <c r="W327" s="18">
        <v>120.102</v>
      </c>
      <c r="X327" s="18">
        <v>4</v>
      </c>
      <c r="Y327" s="19" t="s">
        <v>4</v>
      </c>
    </row>
    <row r="328" spans="1:25" x14ac:dyDescent="0.3">
      <c r="A328" s="14" t="s">
        <v>989</v>
      </c>
      <c r="B328" s="15" t="s">
        <v>285</v>
      </c>
      <c r="C328" s="15" t="s">
        <v>285</v>
      </c>
      <c r="D328" s="15" t="s">
        <v>990</v>
      </c>
      <c r="E328" s="15" t="str">
        <f t="shared" si="24"/>
        <v>Average</v>
      </c>
      <c r="F328" s="15">
        <v>49</v>
      </c>
      <c r="G328" s="30">
        <f t="shared" si="25"/>
        <v>38.275500000000001</v>
      </c>
      <c r="H328" s="15">
        <v>229653</v>
      </c>
      <c r="I328" s="15" t="str">
        <f t="shared" si="26"/>
        <v>Clean</v>
      </c>
      <c r="J328" s="15" t="b">
        <v>0</v>
      </c>
      <c r="K328" s="15" t="str">
        <f t="shared" si="27"/>
        <v>Very Danceable</v>
      </c>
      <c r="L328" s="15">
        <v>0.747</v>
      </c>
      <c r="M328" s="15" t="str">
        <f t="shared" si="28"/>
        <v>Low Energy</v>
      </c>
      <c r="N328" s="15">
        <v>0.26500000000000001</v>
      </c>
      <c r="O328" s="15">
        <v>1</v>
      </c>
      <c r="P328" s="15">
        <v>-14.141</v>
      </c>
      <c r="Q328" s="15">
        <v>1</v>
      </c>
      <c r="R328" s="15">
        <v>3.5400000000000001E-2</v>
      </c>
      <c r="S328" s="15">
        <v>0.745</v>
      </c>
      <c r="T328" s="15">
        <v>1.6899999999999998E-2</v>
      </c>
      <c r="U328" s="15">
        <v>0.11</v>
      </c>
      <c r="V328" s="15">
        <v>0.2</v>
      </c>
      <c r="W328" s="15">
        <v>138.017</v>
      </c>
      <c r="X328" s="15">
        <v>4</v>
      </c>
      <c r="Y328" s="16" t="s">
        <v>4</v>
      </c>
    </row>
    <row r="329" spans="1:25" x14ac:dyDescent="0.3">
      <c r="A329" s="17" t="s">
        <v>991</v>
      </c>
      <c r="B329" s="18" t="s">
        <v>971</v>
      </c>
      <c r="C329" s="18" t="s">
        <v>992</v>
      </c>
      <c r="D329" s="18" t="s">
        <v>992</v>
      </c>
      <c r="E329" s="18" t="str">
        <f t="shared" si="24"/>
        <v>Low</v>
      </c>
      <c r="F329" s="18">
        <v>35</v>
      </c>
      <c r="G329" s="30">
        <f t="shared" si="25"/>
        <v>59.035499999999999</v>
      </c>
      <c r="H329" s="18">
        <v>354213</v>
      </c>
      <c r="I329" s="18" t="str">
        <f t="shared" si="26"/>
        <v>Clean</v>
      </c>
      <c r="J329" s="18" t="b">
        <v>0</v>
      </c>
      <c r="K329" s="18" t="str">
        <f t="shared" si="27"/>
        <v>Moderate</v>
      </c>
      <c r="L329" s="18">
        <v>0.52200000000000002</v>
      </c>
      <c r="M329" s="18" t="str">
        <f t="shared" si="28"/>
        <v>Medium Energy</v>
      </c>
      <c r="N329" s="18">
        <v>0.498</v>
      </c>
      <c r="O329" s="18">
        <v>7</v>
      </c>
      <c r="P329" s="18">
        <v>-7.2469999999999999</v>
      </c>
      <c r="Q329" s="18">
        <v>1</v>
      </c>
      <c r="R329" s="18">
        <v>2.5700000000000001E-2</v>
      </c>
      <c r="S329" s="18">
        <v>7.5800000000000006E-2</v>
      </c>
      <c r="T329" s="21" t="s">
        <v>993</v>
      </c>
      <c r="U329" s="18">
        <v>0.25</v>
      </c>
      <c r="V329" s="18">
        <v>0.221</v>
      </c>
      <c r="W329" s="18">
        <v>145.90799999999999</v>
      </c>
      <c r="X329" s="18">
        <v>4</v>
      </c>
      <c r="Y329" s="19" t="s">
        <v>4</v>
      </c>
    </row>
    <row r="330" spans="1:25" x14ac:dyDescent="0.3">
      <c r="A330" s="14" t="s">
        <v>994</v>
      </c>
      <c r="B330" s="15" t="s">
        <v>40</v>
      </c>
      <c r="C330" s="15" t="s">
        <v>995</v>
      </c>
      <c r="D330" s="15" t="s">
        <v>995</v>
      </c>
      <c r="E330" s="15" t="str">
        <f t="shared" si="24"/>
        <v>Popular</v>
      </c>
      <c r="F330" s="15">
        <v>60</v>
      </c>
      <c r="G330" s="30">
        <f t="shared" si="25"/>
        <v>30.6615</v>
      </c>
      <c r="H330" s="15">
        <v>183969</v>
      </c>
      <c r="I330" s="15" t="str">
        <f t="shared" si="26"/>
        <v>Clean</v>
      </c>
      <c r="J330" s="15" t="b">
        <v>0</v>
      </c>
      <c r="K330" s="15" t="str">
        <f t="shared" si="27"/>
        <v>Very Danceable</v>
      </c>
      <c r="L330" s="15">
        <v>0.71499999999999997</v>
      </c>
      <c r="M330" s="15" t="str">
        <f t="shared" si="28"/>
        <v>Medium Energy</v>
      </c>
      <c r="N330" s="15">
        <v>0.438</v>
      </c>
      <c r="O330" s="15">
        <v>10</v>
      </c>
      <c r="P330" s="15">
        <v>-6.1470000000000002</v>
      </c>
      <c r="Q330" s="15">
        <v>0</v>
      </c>
      <c r="R330" s="15">
        <v>3.73E-2</v>
      </c>
      <c r="S330" s="15">
        <v>0.35299999999999998</v>
      </c>
      <c r="T330" s="20" t="s">
        <v>996</v>
      </c>
      <c r="U330" s="15">
        <v>0.108</v>
      </c>
      <c r="V330" s="15">
        <v>0.44700000000000001</v>
      </c>
      <c r="W330" s="15">
        <v>81.069999999999993</v>
      </c>
      <c r="X330" s="15">
        <v>4</v>
      </c>
      <c r="Y330" s="16" t="s">
        <v>4</v>
      </c>
    </row>
    <row r="331" spans="1:25" x14ac:dyDescent="0.3">
      <c r="A331" s="17" t="s">
        <v>997</v>
      </c>
      <c r="B331" s="18" t="s">
        <v>40</v>
      </c>
      <c r="C331" s="18" t="s">
        <v>41</v>
      </c>
      <c r="D331" s="18" t="s">
        <v>636</v>
      </c>
      <c r="E331" s="18" t="str">
        <f t="shared" si="24"/>
        <v>Popular</v>
      </c>
      <c r="F331" s="18">
        <v>65</v>
      </c>
      <c r="G331" s="30">
        <f t="shared" si="25"/>
        <v>36.923000000000002</v>
      </c>
      <c r="H331" s="18">
        <v>221538</v>
      </c>
      <c r="I331" s="18" t="str">
        <f t="shared" si="26"/>
        <v>Clean</v>
      </c>
      <c r="J331" s="18" t="b">
        <v>0</v>
      </c>
      <c r="K331" s="18" t="str">
        <f t="shared" si="27"/>
        <v>Moderate</v>
      </c>
      <c r="L331" s="18">
        <v>0.64200000000000002</v>
      </c>
      <c r="M331" s="18" t="str">
        <f t="shared" si="28"/>
        <v>Low Energy</v>
      </c>
      <c r="N331" s="18">
        <v>0.374</v>
      </c>
      <c r="O331" s="18">
        <v>5</v>
      </c>
      <c r="P331" s="18">
        <v>-10.606</v>
      </c>
      <c r="Q331" s="18">
        <v>1</v>
      </c>
      <c r="R331" s="18">
        <v>3.2000000000000001E-2</v>
      </c>
      <c r="S331" s="18">
        <v>0.42299999999999999</v>
      </c>
      <c r="T331" s="21" t="s">
        <v>637</v>
      </c>
      <c r="U331" s="18">
        <v>0.435</v>
      </c>
      <c r="V331" s="18">
        <v>9.7900000000000001E-2</v>
      </c>
      <c r="W331" s="18">
        <v>129.863</v>
      </c>
      <c r="X331" s="18">
        <v>4</v>
      </c>
      <c r="Y331" s="19" t="s">
        <v>4</v>
      </c>
    </row>
    <row r="332" spans="1:25" x14ac:dyDescent="0.3">
      <c r="A332" s="14" t="s">
        <v>998</v>
      </c>
      <c r="B332" s="15" t="s">
        <v>999</v>
      </c>
      <c r="C332" s="15" t="s">
        <v>1000</v>
      </c>
      <c r="D332" s="15" t="s">
        <v>1001</v>
      </c>
      <c r="E332" s="15" t="str">
        <f t="shared" si="24"/>
        <v>Average</v>
      </c>
      <c r="F332" s="15">
        <v>52</v>
      </c>
      <c r="G332" s="30">
        <f t="shared" si="25"/>
        <v>32.090833333333336</v>
      </c>
      <c r="H332" s="15">
        <v>192545</v>
      </c>
      <c r="I332" s="15" t="str">
        <f t="shared" si="26"/>
        <v>Clean</v>
      </c>
      <c r="J332" s="15" t="b">
        <v>0</v>
      </c>
      <c r="K332" s="15" t="str">
        <f t="shared" si="27"/>
        <v>Low</v>
      </c>
      <c r="L332" s="15">
        <v>0.35399999999999998</v>
      </c>
      <c r="M332" s="15" t="str">
        <f t="shared" si="28"/>
        <v>Medium Energy</v>
      </c>
      <c r="N332" s="15">
        <v>0.41499999999999998</v>
      </c>
      <c r="O332" s="15">
        <v>9</v>
      </c>
      <c r="P332" s="15">
        <v>-6.5780000000000003</v>
      </c>
      <c r="Q332" s="15">
        <v>1</v>
      </c>
      <c r="R332" s="15">
        <v>2.8899999999999999E-2</v>
      </c>
      <c r="S332" s="15">
        <v>0.79700000000000004</v>
      </c>
      <c r="T332" s="15">
        <v>0</v>
      </c>
      <c r="U332" s="15">
        <v>0.107</v>
      </c>
      <c r="V332" s="15">
        <v>0.42099999999999999</v>
      </c>
      <c r="W332" s="15">
        <v>175.53700000000001</v>
      </c>
      <c r="X332" s="15">
        <v>4</v>
      </c>
      <c r="Y332" s="16" t="s">
        <v>4</v>
      </c>
    </row>
    <row r="333" spans="1:25" x14ac:dyDescent="0.3">
      <c r="A333" s="17" t="s">
        <v>1002</v>
      </c>
      <c r="B333" s="18" t="s">
        <v>243</v>
      </c>
      <c r="C333" s="18" t="s">
        <v>26</v>
      </c>
      <c r="D333" s="18" t="s">
        <v>27</v>
      </c>
      <c r="E333" s="18" t="str">
        <f t="shared" si="24"/>
        <v>Average</v>
      </c>
      <c r="F333" s="18">
        <v>57</v>
      </c>
      <c r="G333" s="30">
        <f t="shared" si="25"/>
        <v>38.87766666666667</v>
      </c>
      <c r="H333" s="18">
        <v>233266</v>
      </c>
      <c r="I333" s="18" t="str">
        <f t="shared" si="26"/>
        <v>Clean</v>
      </c>
      <c r="J333" s="18" t="b">
        <v>0</v>
      </c>
      <c r="K333" s="18" t="str">
        <f t="shared" si="27"/>
        <v>Moderate</v>
      </c>
      <c r="L333" s="18">
        <v>0.44700000000000001</v>
      </c>
      <c r="M333" s="18" t="str">
        <f t="shared" si="28"/>
        <v>Low Energy</v>
      </c>
      <c r="N333" s="18">
        <v>0.158</v>
      </c>
      <c r="O333" s="18">
        <v>2</v>
      </c>
      <c r="P333" s="18">
        <v>-7.5709999999999997</v>
      </c>
      <c r="Q333" s="18">
        <v>1</v>
      </c>
      <c r="R333" s="18">
        <v>3.5999999999999997E-2</v>
      </c>
      <c r="S333" s="18">
        <v>0.872</v>
      </c>
      <c r="T333" s="21" t="s">
        <v>593</v>
      </c>
      <c r="U333" s="18">
        <v>8.1600000000000006E-2</v>
      </c>
      <c r="V333" s="18">
        <v>0.14199999999999999</v>
      </c>
      <c r="W333" s="18">
        <v>140.94200000000001</v>
      </c>
      <c r="X333" s="18">
        <v>3</v>
      </c>
      <c r="Y333" s="19" t="s">
        <v>4</v>
      </c>
    </row>
    <row r="334" spans="1:25" x14ac:dyDescent="0.3">
      <c r="A334" s="14" t="s">
        <v>1003</v>
      </c>
      <c r="B334" s="15" t="s">
        <v>1004</v>
      </c>
      <c r="C334" s="15" t="s">
        <v>1005</v>
      </c>
      <c r="D334" s="15" t="s">
        <v>1005</v>
      </c>
      <c r="E334" s="15" t="str">
        <f t="shared" si="24"/>
        <v>Average</v>
      </c>
      <c r="F334" s="15">
        <v>59</v>
      </c>
      <c r="G334" s="30">
        <f t="shared" si="25"/>
        <v>32.282499999999999</v>
      </c>
      <c r="H334" s="15">
        <v>193695</v>
      </c>
      <c r="I334" s="15" t="str">
        <f t="shared" si="26"/>
        <v>Clean</v>
      </c>
      <c r="J334" s="15" t="b">
        <v>0</v>
      </c>
      <c r="K334" s="15" t="str">
        <f t="shared" si="27"/>
        <v>Moderate</v>
      </c>
      <c r="L334" s="15">
        <v>0.68700000000000006</v>
      </c>
      <c r="M334" s="15" t="str">
        <f t="shared" si="28"/>
        <v>High Energy</v>
      </c>
      <c r="N334" s="15">
        <v>0.748</v>
      </c>
      <c r="O334" s="15">
        <v>3</v>
      </c>
      <c r="P334" s="15">
        <v>-4.54</v>
      </c>
      <c r="Q334" s="15">
        <v>1</v>
      </c>
      <c r="R334" s="15">
        <v>7.85E-2</v>
      </c>
      <c r="S334" s="15">
        <v>0.24</v>
      </c>
      <c r="T334" s="15">
        <v>0</v>
      </c>
      <c r="U334" s="15">
        <v>0.373</v>
      </c>
      <c r="V334" s="15">
        <v>0.872</v>
      </c>
      <c r="W334" s="15">
        <v>88.944000000000003</v>
      </c>
      <c r="X334" s="15">
        <v>4</v>
      </c>
      <c r="Y334" s="16" t="s">
        <v>4</v>
      </c>
    </row>
    <row r="335" spans="1:25" x14ac:dyDescent="0.3">
      <c r="A335" s="17" t="s">
        <v>1006</v>
      </c>
      <c r="B335" s="18" t="s">
        <v>1007</v>
      </c>
      <c r="C335" s="18" t="s">
        <v>1008</v>
      </c>
      <c r="D335" s="18" t="s">
        <v>1009</v>
      </c>
      <c r="E335" s="18" t="str">
        <f t="shared" si="24"/>
        <v>Average</v>
      </c>
      <c r="F335" s="18">
        <v>50</v>
      </c>
      <c r="G335" s="30">
        <f t="shared" si="25"/>
        <v>34.299999999999997</v>
      </c>
      <c r="H335" s="18">
        <v>205800</v>
      </c>
      <c r="I335" s="18" t="str">
        <f t="shared" si="26"/>
        <v>Clean</v>
      </c>
      <c r="J335" s="18" t="b">
        <v>0</v>
      </c>
      <c r="K335" s="18" t="str">
        <f t="shared" si="27"/>
        <v>Moderate</v>
      </c>
      <c r="L335" s="18">
        <v>0.58799999999999997</v>
      </c>
      <c r="M335" s="18" t="str">
        <f t="shared" si="28"/>
        <v>High Energy</v>
      </c>
      <c r="N335" s="18">
        <v>0.91400000000000003</v>
      </c>
      <c r="O335" s="18">
        <v>7</v>
      </c>
      <c r="P335" s="18">
        <v>-7.4420000000000002</v>
      </c>
      <c r="Q335" s="18">
        <v>1</v>
      </c>
      <c r="R335" s="18">
        <v>3.4099999999999998E-2</v>
      </c>
      <c r="S335" s="18">
        <v>0.83199999999999996</v>
      </c>
      <c r="T335" s="18">
        <v>0.85599999999999998</v>
      </c>
      <c r="U335" s="18">
        <v>0.10299999999999999</v>
      </c>
      <c r="V335" s="18">
        <v>0.97099999999999997</v>
      </c>
      <c r="W335" s="18">
        <v>128.553</v>
      </c>
      <c r="X335" s="18">
        <v>4</v>
      </c>
      <c r="Y335" s="19" t="s">
        <v>4</v>
      </c>
    </row>
    <row r="336" spans="1:25" x14ac:dyDescent="0.3">
      <c r="A336" s="14" t="s">
        <v>1010</v>
      </c>
      <c r="B336" s="15" t="s">
        <v>164</v>
      </c>
      <c r="C336" s="15" t="s">
        <v>1011</v>
      </c>
      <c r="D336" s="15" t="s">
        <v>1012</v>
      </c>
      <c r="E336" s="15" t="str">
        <f t="shared" si="24"/>
        <v>Average</v>
      </c>
      <c r="F336" s="15">
        <v>49</v>
      </c>
      <c r="G336" s="30">
        <f t="shared" si="25"/>
        <v>45.435333333333332</v>
      </c>
      <c r="H336" s="15">
        <v>272612</v>
      </c>
      <c r="I336" s="15" t="str">
        <f t="shared" si="26"/>
        <v>Clean</v>
      </c>
      <c r="J336" s="15" t="b">
        <v>0</v>
      </c>
      <c r="K336" s="15" t="str">
        <f t="shared" si="27"/>
        <v>Moderate</v>
      </c>
      <c r="L336" s="15">
        <v>0.45600000000000002</v>
      </c>
      <c r="M336" s="15" t="str">
        <f t="shared" si="28"/>
        <v>Low Energy</v>
      </c>
      <c r="N336" s="15">
        <v>0.20499999999999999</v>
      </c>
      <c r="O336" s="15">
        <v>1</v>
      </c>
      <c r="P336" s="15">
        <v>-8.4369999999999994</v>
      </c>
      <c r="Q336" s="15">
        <v>1</v>
      </c>
      <c r="R336" s="15">
        <v>3.1300000000000001E-2</v>
      </c>
      <c r="S336" s="15">
        <v>0.92</v>
      </c>
      <c r="T336" s="15">
        <v>1.1E-4</v>
      </c>
      <c r="U336" s="15">
        <v>0.14899999999999999</v>
      </c>
      <c r="V336" s="15">
        <v>0.161</v>
      </c>
      <c r="W336" s="15">
        <v>117.663</v>
      </c>
      <c r="X336" s="15">
        <v>4</v>
      </c>
      <c r="Y336" s="16" t="s">
        <v>4</v>
      </c>
    </row>
    <row r="337" spans="1:25" x14ac:dyDescent="0.3">
      <c r="A337" s="17" t="s">
        <v>1013</v>
      </c>
      <c r="B337" s="18" t="s">
        <v>560</v>
      </c>
      <c r="C337" s="18" t="s">
        <v>1014</v>
      </c>
      <c r="D337" s="18" t="s">
        <v>1015</v>
      </c>
      <c r="E337" s="18" t="str">
        <f t="shared" si="24"/>
        <v>Average</v>
      </c>
      <c r="F337" s="18">
        <v>54</v>
      </c>
      <c r="G337" s="30">
        <f t="shared" si="25"/>
        <v>35.206666666666663</v>
      </c>
      <c r="H337" s="18">
        <v>211240</v>
      </c>
      <c r="I337" s="18" t="str">
        <f t="shared" si="26"/>
        <v>Clean</v>
      </c>
      <c r="J337" s="18" t="b">
        <v>0</v>
      </c>
      <c r="K337" s="18" t="str">
        <f t="shared" si="27"/>
        <v>Moderate</v>
      </c>
      <c r="L337" s="18">
        <v>0.51200000000000001</v>
      </c>
      <c r="M337" s="18" t="str">
        <f t="shared" si="28"/>
        <v>Low Energy</v>
      </c>
      <c r="N337" s="18">
        <v>0.248</v>
      </c>
      <c r="O337" s="18">
        <v>2</v>
      </c>
      <c r="P337" s="18">
        <v>-10.359</v>
      </c>
      <c r="Q337" s="18">
        <v>1</v>
      </c>
      <c r="R337" s="18">
        <v>2.75E-2</v>
      </c>
      <c r="S337" s="18">
        <v>0.75</v>
      </c>
      <c r="T337" s="21" t="s">
        <v>1016</v>
      </c>
      <c r="U337" s="18">
        <v>0.114</v>
      </c>
      <c r="V337" s="18">
        <v>0.158</v>
      </c>
      <c r="W337" s="18">
        <v>109.69199999999999</v>
      </c>
      <c r="X337" s="18">
        <v>3</v>
      </c>
      <c r="Y337" s="19" t="s">
        <v>4</v>
      </c>
    </row>
    <row r="338" spans="1:25" x14ac:dyDescent="0.3">
      <c r="A338" s="14" t="s">
        <v>1017</v>
      </c>
      <c r="B338" s="15" t="s">
        <v>388</v>
      </c>
      <c r="C338" s="15" t="s">
        <v>1018</v>
      </c>
      <c r="D338" s="15" t="s">
        <v>1018</v>
      </c>
      <c r="E338" s="15" t="str">
        <f t="shared" si="24"/>
        <v>Average</v>
      </c>
      <c r="F338" s="15">
        <v>52</v>
      </c>
      <c r="G338" s="30">
        <f t="shared" si="25"/>
        <v>34.048833333333334</v>
      </c>
      <c r="H338" s="15">
        <v>204293</v>
      </c>
      <c r="I338" s="15" t="str">
        <f t="shared" si="26"/>
        <v>Clean</v>
      </c>
      <c r="J338" s="15" t="b">
        <v>0</v>
      </c>
      <c r="K338" s="15" t="str">
        <f t="shared" si="27"/>
        <v>Moderate</v>
      </c>
      <c r="L338" s="15">
        <v>0.58199999999999996</v>
      </c>
      <c r="M338" s="15" t="str">
        <f t="shared" si="28"/>
        <v>Low Energy</v>
      </c>
      <c r="N338" s="15">
        <v>0.28199999999999997</v>
      </c>
      <c r="O338" s="15">
        <v>0</v>
      </c>
      <c r="P338" s="15">
        <v>-9.2289999999999992</v>
      </c>
      <c r="Q338" s="15">
        <v>1</v>
      </c>
      <c r="R338" s="15">
        <v>3.1600000000000003E-2</v>
      </c>
      <c r="S338" s="15">
        <v>0.79300000000000004</v>
      </c>
      <c r="T338" s="20" t="s">
        <v>1019</v>
      </c>
      <c r="U338" s="15">
        <v>7.4399999999999994E-2</v>
      </c>
      <c r="V338" s="15">
        <v>0.27800000000000002</v>
      </c>
      <c r="W338" s="15">
        <v>118.01900000000001</v>
      </c>
      <c r="X338" s="15">
        <v>4</v>
      </c>
      <c r="Y338" s="16" t="s">
        <v>4</v>
      </c>
    </row>
    <row r="339" spans="1:25" x14ac:dyDescent="0.3">
      <c r="A339" s="17" t="s">
        <v>1020</v>
      </c>
      <c r="B339" s="18" t="s">
        <v>560</v>
      </c>
      <c r="C339" s="18" t="s">
        <v>561</v>
      </c>
      <c r="D339" s="18" t="s">
        <v>1021</v>
      </c>
      <c r="E339" s="18" t="str">
        <f t="shared" si="24"/>
        <v>Average</v>
      </c>
      <c r="F339" s="18">
        <v>46</v>
      </c>
      <c r="G339" s="30">
        <f t="shared" si="25"/>
        <v>42.06433333333333</v>
      </c>
      <c r="H339" s="18">
        <v>252386</v>
      </c>
      <c r="I339" s="18" t="str">
        <f t="shared" si="26"/>
        <v>Clean</v>
      </c>
      <c r="J339" s="18" t="b">
        <v>0</v>
      </c>
      <c r="K339" s="18" t="str">
        <f t="shared" si="27"/>
        <v>Moderate</v>
      </c>
      <c r="L339" s="18">
        <v>0.56799999999999995</v>
      </c>
      <c r="M339" s="18" t="str">
        <f t="shared" si="28"/>
        <v>Low Energy</v>
      </c>
      <c r="N339" s="18">
        <v>0.18</v>
      </c>
      <c r="O339" s="18">
        <v>7</v>
      </c>
      <c r="P339" s="18">
        <v>-11.707000000000001</v>
      </c>
      <c r="Q339" s="18">
        <v>1</v>
      </c>
      <c r="R339" s="18">
        <v>2.8400000000000002E-2</v>
      </c>
      <c r="S339" s="18">
        <v>0.75800000000000001</v>
      </c>
      <c r="T339" s="21" t="s">
        <v>1022</v>
      </c>
      <c r="U339" s="18">
        <v>0.111</v>
      </c>
      <c r="V339" s="18">
        <v>0.22800000000000001</v>
      </c>
      <c r="W339" s="18">
        <v>112.033</v>
      </c>
      <c r="X339" s="18">
        <v>4</v>
      </c>
      <c r="Y339" s="19" t="s">
        <v>4</v>
      </c>
    </row>
    <row r="340" spans="1:25" x14ac:dyDescent="0.3">
      <c r="A340" s="14" t="s">
        <v>1023</v>
      </c>
      <c r="B340" s="15" t="s">
        <v>380</v>
      </c>
      <c r="C340" s="15" t="s">
        <v>860</v>
      </c>
      <c r="D340" s="15" t="s">
        <v>1024</v>
      </c>
      <c r="E340" s="15" t="str">
        <f t="shared" si="24"/>
        <v>Popular</v>
      </c>
      <c r="F340" s="15">
        <v>62</v>
      </c>
      <c r="G340" s="30">
        <f t="shared" si="25"/>
        <v>33.875500000000002</v>
      </c>
      <c r="H340" s="15">
        <v>203253</v>
      </c>
      <c r="I340" s="15" t="str">
        <f t="shared" si="26"/>
        <v>Clean</v>
      </c>
      <c r="J340" s="15" t="b">
        <v>0</v>
      </c>
      <c r="K340" s="15" t="str">
        <f t="shared" si="27"/>
        <v>Very Danceable</v>
      </c>
      <c r="L340" s="15">
        <v>0.71</v>
      </c>
      <c r="M340" s="15" t="str">
        <f t="shared" si="28"/>
        <v>Low Energy</v>
      </c>
      <c r="N340" s="15">
        <v>0.27100000000000002</v>
      </c>
      <c r="O340" s="15">
        <v>7</v>
      </c>
      <c r="P340" s="15">
        <v>-9.5410000000000004</v>
      </c>
      <c r="Q340" s="15">
        <v>1</v>
      </c>
      <c r="R340" s="15">
        <v>2.8299999999999999E-2</v>
      </c>
      <c r="S340" s="15">
        <v>0.65800000000000003</v>
      </c>
      <c r="T340" s="20" t="s">
        <v>1025</v>
      </c>
      <c r="U340" s="15">
        <v>0.115</v>
      </c>
      <c r="V340" s="15">
        <v>0.68600000000000005</v>
      </c>
      <c r="W340" s="15">
        <v>131.88</v>
      </c>
      <c r="X340" s="15">
        <v>4</v>
      </c>
      <c r="Y340" s="16" t="s">
        <v>4</v>
      </c>
    </row>
    <row r="341" spans="1:25" x14ac:dyDescent="0.3">
      <c r="A341" s="17" t="s">
        <v>1026</v>
      </c>
      <c r="B341" s="18" t="s">
        <v>1027</v>
      </c>
      <c r="C341" s="18" t="s">
        <v>1028</v>
      </c>
      <c r="D341" s="18" t="s">
        <v>1029</v>
      </c>
      <c r="E341" s="18" t="str">
        <f t="shared" si="24"/>
        <v>Low</v>
      </c>
      <c r="F341" s="18">
        <v>32</v>
      </c>
      <c r="G341" s="30">
        <f t="shared" si="25"/>
        <v>48.55533333333333</v>
      </c>
      <c r="H341" s="18">
        <v>291332</v>
      </c>
      <c r="I341" s="18" t="str">
        <f t="shared" si="26"/>
        <v>Clean</v>
      </c>
      <c r="J341" s="18" t="b">
        <v>0</v>
      </c>
      <c r="K341" s="18" t="str">
        <f t="shared" si="27"/>
        <v>Moderate</v>
      </c>
      <c r="L341" s="18">
        <v>0.57399999999999995</v>
      </c>
      <c r="M341" s="18" t="str">
        <f t="shared" si="28"/>
        <v>High Energy</v>
      </c>
      <c r="N341" s="18">
        <v>0.70399999999999996</v>
      </c>
      <c r="O341" s="18">
        <v>0</v>
      </c>
      <c r="P341" s="18">
        <v>-4.6500000000000004</v>
      </c>
      <c r="Q341" s="18">
        <v>1</v>
      </c>
      <c r="R341" s="18">
        <v>3.1800000000000002E-2</v>
      </c>
      <c r="S341" s="18">
        <v>9.3100000000000002E-2</v>
      </c>
      <c r="T341" s="18">
        <v>2.81E-4</v>
      </c>
      <c r="U341" s="18">
        <v>0.13600000000000001</v>
      </c>
      <c r="V341" s="18">
        <v>0.33800000000000002</v>
      </c>
      <c r="W341" s="18">
        <v>117.086</v>
      </c>
      <c r="X341" s="18">
        <v>4</v>
      </c>
      <c r="Y341" s="19" t="s">
        <v>4</v>
      </c>
    </row>
    <row r="342" spans="1:25" x14ac:dyDescent="0.3">
      <c r="A342" s="14" t="s">
        <v>1030</v>
      </c>
      <c r="B342" s="15" t="s">
        <v>874</v>
      </c>
      <c r="C342" s="15" t="s">
        <v>1031</v>
      </c>
      <c r="D342" s="15" t="s">
        <v>1032</v>
      </c>
      <c r="E342" s="15" t="str">
        <f t="shared" si="24"/>
        <v>Low</v>
      </c>
      <c r="F342" s="15">
        <v>33</v>
      </c>
      <c r="G342" s="30">
        <f t="shared" si="25"/>
        <v>28.728833333333334</v>
      </c>
      <c r="H342" s="15">
        <v>172373</v>
      </c>
      <c r="I342" s="15" t="str">
        <f t="shared" si="26"/>
        <v>Clean</v>
      </c>
      <c r="J342" s="15" t="b">
        <v>0</v>
      </c>
      <c r="K342" s="15" t="str">
        <f t="shared" si="27"/>
        <v>Moderate</v>
      </c>
      <c r="L342" s="15">
        <v>0.64</v>
      </c>
      <c r="M342" s="15" t="str">
        <f t="shared" si="28"/>
        <v>High Energy</v>
      </c>
      <c r="N342" s="15">
        <v>0.89500000000000002</v>
      </c>
      <c r="O342" s="15">
        <v>9</v>
      </c>
      <c r="P342" s="15">
        <v>-3.0680000000000001</v>
      </c>
      <c r="Q342" s="15">
        <v>1</v>
      </c>
      <c r="R342" s="15">
        <v>3.1600000000000003E-2</v>
      </c>
      <c r="S342" s="15">
        <v>0.27300000000000002</v>
      </c>
      <c r="T342" s="15">
        <v>0</v>
      </c>
      <c r="U342" s="15">
        <v>0.247</v>
      </c>
      <c r="V342" s="15">
        <v>0.94</v>
      </c>
      <c r="W342" s="15">
        <v>115.941</v>
      </c>
      <c r="X342" s="15">
        <v>4</v>
      </c>
      <c r="Y342" s="16" t="s">
        <v>4</v>
      </c>
    </row>
    <row r="343" spans="1:25" x14ac:dyDescent="0.3">
      <c r="A343" s="17" t="s">
        <v>1033</v>
      </c>
      <c r="B343" s="18" t="s">
        <v>1034</v>
      </c>
      <c r="C343" s="18" t="s">
        <v>1035</v>
      </c>
      <c r="D343" s="18" t="s">
        <v>1036</v>
      </c>
      <c r="E343" s="18" t="str">
        <f t="shared" si="24"/>
        <v>Average</v>
      </c>
      <c r="F343" s="18">
        <v>58</v>
      </c>
      <c r="G343" s="30">
        <f t="shared" si="25"/>
        <v>26.888000000000002</v>
      </c>
      <c r="H343" s="18">
        <v>161328</v>
      </c>
      <c r="I343" s="18" t="str">
        <f t="shared" si="26"/>
        <v>Clean</v>
      </c>
      <c r="J343" s="18" t="b">
        <v>0</v>
      </c>
      <c r="K343" s="18" t="str">
        <f t="shared" si="27"/>
        <v>Moderate</v>
      </c>
      <c r="L343" s="18">
        <v>0.66900000000000004</v>
      </c>
      <c r="M343" s="18" t="str">
        <f t="shared" si="28"/>
        <v>High Energy</v>
      </c>
      <c r="N343" s="18">
        <v>0.85399999999999998</v>
      </c>
      <c r="O343" s="18">
        <v>4</v>
      </c>
      <c r="P343" s="18">
        <v>-5.899</v>
      </c>
      <c r="Q343" s="18">
        <v>1</v>
      </c>
      <c r="R343" s="18">
        <v>4.3099999999999999E-2</v>
      </c>
      <c r="S343" s="18">
        <v>6.5299999999999997E-2</v>
      </c>
      <c r="T343" s="18">
        <v>0</v>
      </c>
      <c r="U343" s="18">
        <v>0.28799999999999998</v>
      </c>
      <c r="V343" s="18">
        <v>0.70599999999999996</v>
      </c>
      <c r="W343" s="18">
        <v>120.035</v>
      </c>
      <c r="X343" s="18">
        <v>4</v>
      </c>
      <c r="Y343" s="19" t="s">
        <v>4</v>
      </c>
    </row>
    <row r="344" spans="1:25" x14ac:dyDescent="0.3">
      <c r="A344" s="14" t="s">
        <v>1037</v>
      </c>
      <c r="B344" s="15" t="s">
        <v>1038</v>
      </c>
      <c r="C344" s="15" t="s">
        <v>1039</v>
      </c>
      <c r="D344" s="15" t="s">
        <v>1040</v>
      </c>
      <c r="E344" s="15" t="str">
        <f t="shared" si="24"/>
        <v>Average</v>
      </c>
      <c r="F344" s="15">
        <v>57</v>
      </c>
      <c r="G344" s="30">
        <f t="shared" si="25"/>
        <v>36.717666666666666</v>
      </c>
      <c r="H344" s="15">
        <v>220306</v>
      </c>
      <c r="I344" s="15" t="str">
        <f t="shared" si="26"/>
        <v>Clean</v>
      </c>
      <c r="J344" s="15" t="b">
        <v>0</v>
      </c>
      <c r="K344" s="15" t="str">
        <f t="shared" si="27"/>
        <v>Moderate</v>
      </c>
      <c r="L344" s="15">
        <v>0.61499999999999999</v>
      </c>
      <c r="M344" s="15" t="str">
        <f t="shared" si="28"/>
        <v>Low Energy</v>
      </c>
      <c r="N344" s="15">
        <v>0.35799999999999998</v>
      </c>
      <c r="O344" s="15">
        <v>5</v>
      </c>
      <c r="P344" s="15">
        <v>-9.6940000000000008</v>
      </c>
      <c r="Q344" s="15">
        <v>1</v>
      </c>
      <c r="R344" s="15">
        <v>5.5199999999999999E-2</v>
      </c>
      <c r="S344" s="15">
        <v>0.70499999999999996</v>
      </c>
      <c r="T344" s="15">
        <v>0</v>
      </c>
      <c r="U344" s="15">
        <v>0.113</v>
      </c>
      <c r="V344" s="15">
        <v>0.432</v>
      </c>
      <c r="W344" s="15">
        <v>146.06</v>
      </c>
      <c r="X344" s="15">
        <v>4</v>
      </c>
      <c r="Y344" s="16" t="s">
        <v>4</v>
      </c>
    </row>
    <row r="345" spans="1:25" x14ac:dyDescent="0.3">
      <c r="A345" s="17" t="s">
        <v>1041</v>
      </c>
      <c r="B345" s="18" t="s">
        <v>1042</v>
      </c>
      <c r="C345" s="18" t="s">
        <v>1043</v>
      </c>
      <c r="D345" s="18" t="s">
        <v>1044</v>
      </c>
      <c r="E345" s="18" t="str">
        <f t="shared" si="24"/>
        <v>Low</v>
      </c>
      <c r="F345" s="18">
        <v>34</v>
      </c>
      <c r="G345" s="30">
        <f t="shared" si="25"/>
        <v>32.065333333333335</v>
      </c>
      <c r="H345" s="18">
        <v>192392</v>
      </c>
      <c r="I345" s="18" t="str">
        <f t="shared" si="26"/>
        <v>Clean</v>
      </c>
      <c r="J345" s="18" t="b">
        <v>0</v>
      </c>
      <c r="K345" s="18" t="str">
        <f t="shared" si="27"/>
        <v>Moderate</v>
      </c>
      <c r="L345" s="18">
        <v>0.41499999999999998</v>
      </c>
      <c r="M345" s="18" t="str">
        <f t="shared" si="28"/>
        <v>Medium Energy</v>
      </c>
      <c r="N345" s="18">
        <v>0.61899999999999999</v>
      </c>
      <c r="O345" s="18">
        <v>2</v>
      </c>
      <c r="P345" s="18">
        <v>-7.6239999999999997</v>
      </c>
      <c r="Q345" s="18">
        <v>0</v>
      </c>
      <c r="R345" s="18">
        <v>0.123</v>
      </c>
      <c r="S345" s="18">
        <v>0.94599999999999995</v>
      </c>
      <c r="T345" s="21" t="s">
        <v>1045</v>
      </c>
      <c r="U345" s="18">
        <v>0.79900000000000004</v>
      </c>
      <c r="V345" s="18">
        <v>0.73899999999999999</v>
      </c>
      <c r="W345" s="18">
        <v>77.009</v>
      </c>
      <c r="X345" s="18">
        <v>4</v>
      </c>
      <c r="Y345" s="19" t="s">
        <v>4</v>
      </c>
    </row>
    <row r="346" spans="1:25" x14ac:dyDescent="0.3">
      <c r="A346" s="14" t="s">
        <v>1046</v>
      </c>
      <c r="B346" s="15" t="s">
        <v>228</v>
      </c>
      <c r="C346" s="15" t="s">
        <v>282</v>
      </c>
      <c r="D346" s="15" t="s">
        <v>1047</v>
      </c>
      <c r="E346" s="15" t="str">
        <f t="shared" si="24"/>
        <v>Average</v>
      </c>
      <c r="F346" s="15">
        <v>55</v>
      </c>
      <c r="G346" s="30">
        <f t="shared" si="25"/>
        <v>34.537999999999997</v>
      </c>
      <c r="H346" s="15">
        <v>207228</v>
      </c>
      <c r="I346" s="15" t="str">
        <f t="shared" si="26"/>
        <v>Clean</v>
      </c>
      <c r="J346" s="15" t="b">
        <v>0</v>
      </c>
      <c r="K346" s="15" t="str">
        <f t="shared" si="27"/>
        <v>Moderate</v>
      </c>
      <c r="L346" s="15">
        <v>0.56499999999999995</v>
      </c>
      <c r="M346" s="15" t="str">
        <f t="shared" si="28"/>
        <v>High Energy</v>
      </c>
      <c r="N346" s="15">
        <v>0.89500000000000002</v>
      </c>
      <c r="O346" s="15">
        <v>0</v>
      </c>
      <c r="P346" s="15">
        <v>-5.3540000000000001</v>
      </c>
      <c r="Q346" s="15">
        <v>1</v>
      </c>
      <c r="R346" s="15">
        <v>0.04</v>
      </c>
      <c r="S346" s="15">
        <v>0.19400000000000001</v>
      </c>
      <c r="T346" s="15">
        <v>0</v>
      </c>
      <c r="U346" s="15">
        <v>0.10100000000000001</v>
      </c>
      <c r="V346" s="15">
        <v>0.59199999999999997</v>
      </c>
      <c r="W346" s="15">
        <v>149.91900000000001</v>
      </c>
      <c r="X346" s="15">
        <v>4</v>
      </c>
      <c r="Y346" s="16" t="s">
        <v>4</v>
      </c>
    </row>
    <row r="347" spans="1:25" x14ac:dyDescent="0.3">
      <c r="A347" s="17" t="s">
        <v>1048</v>
      </c>
      <c r="B347" s="18" t="s">
        <v>1049</v>
      </c>
      <c r="C347" s="18" t="s">
        <v>1050</v>
      </c>
      <c r="D347" s="18" t="s">
        <v>1051</v>
      </c>
      <c r="E347" s="18" t="str">
        <f t="shared" si="24"/>
        <v>Low</v>
      </c>
      <c r="F347" s="18">
        <v>33</v>
      </c>
      <c r="G347" s="30">
        <f t="shared" si="25"/>
        <v>20.478999999999999</v>
      </c>
      <c r="H347" s="18">
        <v>122874</v>
      </c>
      <c r="I347" s="18" t="str">
        <f t="shared" si="26"/>
        <v>Clean</v>
      </c>
      <c r="J347" s="18" t="b">
        <v>0</v>
      </c>
      <c r="K347" s="18" t="str">
        <f t="shared" si="27"/>
        <v>Moderate</v>
      </c>
      <c r="L347" s="18">
        <v>0.58599999999999997</v>
      </c>
      <c r="M347" s="18" t="str">
        <f t="shared" si="28"/>
        <v>High Energy</v>
      </c>
      <c r="N347" s="18">
        <v>0.70199999999999996</v>
      </c>
      <c r="O347" s="18">
        <v>0</v>
      </c>
      <c r="P347" s="18">
        <v>-4.4180000000000001</v>
      </c>
      <c r="Q347" s="18">
        <v>1</v>
      </c>
      <c r="R347" s="18">
        <v>0.13200000000000001</v>
      </c>
      <c r="S347" s="18">
        <v>0.59</v>
      </c>
      <c r="T347" s="18">
        <v>0</v>
      </c>
      <c r="U347" s="18">
        <v>0.14599999999999999</v>
      </c>
      <c r="V347" s="18">
        <v>0.64400000000000002</v>
      </c>
      <c r="W347" s="18">
        <v>177.59800000000001</v>
      </c>
      <c r="X347" s="18">
        <v>4</v>
      </c>
      <c r="Y347" s="19" t="s">
        <v>4</v>
      </c>
    </row>
    <row r="348" spans="1:25" x14ac:dyDescent="0.3">
      <c r="A348" s="14" t="s">
        <v>1052</v>
      </c>
      <c r="B348" s="15" t="s">
        <v>1053</v>
      </c>
      <c r="C348" s="15" t="s">
        <v>1054</v>
      </c>
      <c r="D348" s="15" t="s">
        <v>1055</v>
      </c>
      <c r="E348" s="15" t="str">
        <f t="shared" si="24"/>
        <v>Low</v>
      </c>
      <c r="F348" s="15">
        <v>33</v>
      </c>
      <c r="G348" s="30">
        <f t="shared" si="25"/>
        <v>37.169166666666669</v>
      </c>
      <c r="H348" s="15">
        <v>223015</v>
      </c>
      <c r="I348" s="15" t="str">
        <f t="shared" si="26"/>
        <v>Clean</v>
      </c>
      <c r="J348" s="15" t="b">
        <v>0</v>
      </c>
      <c r="K348" s="15" t="str">
        <f t="shared" si="27"/>
        <v>Moderate</v>
      </c>
      <c r="L348" s="15">
        <v>0.56399999999999995</v>
      </c>
      <c r="M348" s="15" t="str">
        <f t="shared" si="28"/>
        <v>Medium Energy</v>
      </c>
      <c r="N348" s="15">
        <v>0.60399999999999998</v>
      </c>
      <c r="O348" s="15">
        <v>7</v>
      </c>
      <c r="P348" s="15">
        <v>-5.0549999999999997</v>
      </c>
      <c r="Q348" s="15">
        <v>1</v>
      </c>
      <c r="R348" s="15">
        <v>5.4899999999999997E-2</v>
      </c>
      <c r="S348" s="15">
        <v>2.87E-2</v>
      </c>
      <c r="T348" s="20" t="s">
        <v>1056</v>
      </c>
      <c r="U348" s="15">
        <v>0.108</v>
      </c>
      <c r="V348" s="15">
        <v>0.34100000000000003</v>
      </c>
      <c r="W348" s="15">
        <v>113.09099999999999</v>
      </c>
      <c r="X348" s="15">
        <v>4</v>
      </c>
      <c r="Y348" s="16" t="s">
        <v>4</v>
      </c>
    </row>
    <row r="349" spans="1:25" x14ac:dyDescent="0.3">
      <c r="A349" s="17" t="s">
        <v>1057</v>
      </c>
      <c r="B349" s="18" t="s">
        <v>1058</v>
      </c>
      <c r="C349" s="18" t="s">
        <v>127</v>
      </c>
      <c r="D349" s="18" t="s">
        <v>1059</v>
      </c>
      <c r="E349" s="18" t="str">
        <f t="shared" si="24"/>
        <v>Low</v>
      </c>
      <c r="F349" s="18">
        <v>0</v>
      </c>
      <c r="G349" s="30">
        <f t="shared" si="25"/>
        <v>25.833333333333332</v>
      </c>
      <c r="H349" s="18">
        <v>155000</v>
      </c>
      <c r="I349" s="18" t="str">
        <f t="shared" si="26"/>
        <v>Clean</v>
      </c>
      <c r="J349" s="18" t="b">
        <v>0</v>
      </c>
      <c r="K349" s="18" t="str">
        <f t="shared" si="27"/>
        <v>Moderate</v>
      </c>
      <c r="L349" s="18">
        <v>0.54300000000000004</v>
      </c>
      <c r="M349" s="18" t="str">
        <f t="shared" si="28"/>
        <v>Low Energy</v>
      </c>
      <c r="N349" s="18">
        <v>0.35899999999999999</v>
      </c>
      <c r="O349" s="18">
        <v>8</v>
      </c>
      <c r="P349" s="18">
        <v>-6.5709999999999997</v>
      </c>
      <c r="Q349" s="18">
        <v>1</v>
      </c>
      <c r="R349" s="18">
        <v>3.0200000000000001E-2</v>
      </c>
      <c r="S349" s="18">
        <v>0.65100000000000002</v>
      </c>
      <c r="T349" s="18">
        <v>0</v>
      </c>
      <c r="U349" s="18">
        <v>9.8100000000000007E-2</v>
      </c>
      <c r="V349" s="18">
        <v>0.34599999999999997</v>
      </c>
      <c r="W349" s="18">
        <v>109.735</v>
      </c>
      <c r="X349" s="18">
        <v>4</v>
      </c>
      <c r="Y349" s="19" t="s">
        <v>4</v>
      </c>
    </row>
    <row r="350" spans="1:25" x14ac:dyDescent="0.3">
      <c r="A350" s="14" t="s">
        <v>1060</v>
      </c>
      <c r="B350" s="15" t="s">
        <v>1058</v>
      </c>
      <c r="C350" s="15" t="s">
        <v>1061</v>
      </c>
      <c r="D350" s="15" t="s">
        <v>1059</v>
      </c>
      <c r="E350" s="15" t="str">
        <f t="shared" si="24"/>
        <v>Low</v>
      </c>
      <c r="F350" s="15">
        <v>0</v>
      </c>
      <c r="G350" s="30">
        <f t="shared" si="25"/>
        <v>25.833333333333332</v>
      </c>
      <c r="H350" s="15">
        <v>155000</v>
      </c>
      <c r="I350" s="15" t="str">
        <f t="shared" si="26"/>
        <v>Clean</v>
      </c>
      <c r="J350" s="15" t="b">
        <v>0</v>
      </c>
      <c r="K350" s="15" t="str">
        <f t="shared" si="27"/>
        <v>Moderate</v>
      </c>
      <c r="L350" s="15">
        <v>0.54300000000000004</v>
      </c>
      <c r="M350" s="15" t="str">
        <f t="shared" si="28"/>
        <v>Low Energy</v>
      </c>
      <c r="N350" s="15">
        <v>0.35899999999999999</v>
      </c>
      <c r="O350" s="15">
        <v>8</v>
      </c>
      <c r="P350" s="15">
        <v>-6.5709999999999997</v>
      </c>
      <c r="Q350" s="15">
        <v>1</v>
      </c>
      <c r="R350" s="15">
        <v>3.0200000000000001E-2</v>
      </c>
      <c r="S350" s="15">
        <v>0.65100000000000002</v>
      </c>
      <c r="T350" s="15">
        <v>0</v>
      </c>
      <c r="U350" s="15">
        <v>9.8100000000000007E-2</v>
      </c>
      <c r="V350" s="15">
        <v>0.34599999999999997</v>
      </c>
      <c r="W350" s="15">
        <v>109.735</v>
      </c>
      <c r="X350" s="15">
        <v>4</v>
      </c>
      <c r="Y350" s="16" t="s">
        <v>4</v>
      </c>
    </row>
    <row r="351" spans="1:25" x14ac:dyDescent="0.3">
      <c r="A351" s="17" t="s">
        <v>1062</v>
      </c>
      <c r="B351" s="18" t="s">
        <v>1058</v>
      </c>
      <c r="C351" s="18" t="s">
        <v>294</v>
      </c>
      <c r="D351" s="18" t="s">
        <v>1059</v>
      </c>
      <c r="E351" s="18" t="str">
        <f t="shared" si="24"/>
        <v>Low</v>
      </c>
      <c r="F351" s="18">
        <v>0</v>
      </c>
      <c r="G351" s="30">
        <f t="shared" si="25"/>
        <v>25.833333333333332</v>
      </c>
      <c r="H351" s="18">
        <v>155000</v>
      </c>
      <c r="I351" s="18" t="str">
        <f t="shared" si="26"/>
        <v>Clean</v>
      </c>
      <c r="J351" s="18" t="b">
        <v>0</v>
      </c>
      <c r="K351" s="18" t="str">
        <f t="shared" si="27"/>
        <v>Moderate</v>
      </c>
      <c r="L351" s="18">
        <v>0.54300000000000004</v>
      </c>
      <c r="M351" s="18" t="str">
        <f t="shared" si="28"/>
        <v>Low Energy</v>
      </c>
      <c r="N351" s="18">
        <v>0.35899999999999999</v>
      </c>
      <c r="O351" s="18">
        <v>8</v>
      </c>
      <c r="P351" s="18">
        <v>-6.5709999999999997</v>
      </c>
      <c r="Q351" s="18">
        <v>1</v>
      </c>
      <c r="R351" s="18">
        <v>3.0200000000000001E-2</v>
      </c>
      <c r="S351" s="18">
        <v>0.65100000000000002</v>
      </c>
      <c r="T351" s="18">
        <v>0</v>
      </c>
      <c r="U351" s="18">
        <v>9.8100000000000007E-2</v>
      </c>
      <c r="V351" s="18">
        <v>0.34599999999999997</v>
      </c>
      <c r="W351" s="18">
        <v>109.735</v>
      </c>
      <c r="X351" s="18">
        <v>4</v>
      </c>
      <c r="Y351" s="19" t="s">
        <v>4</v>
      </c>
    </row>
    <row r="352" spans="1:25" x14ac:dyDescent="0.3">
      <c r="A352" s="14" t="s">
        <v>1063</v>
      </c>
      <c r="B352" s="15" t="s">
        <v>644</v>
      </c>
      <c r="C352" s="15" t="s">
        <v>1064</v>
      </c>
      <c r="D352" s="15" t="s">
        <v>1065</v>
      </c>
      <c r="E352" s="15" t="str">
        <f t="shared" si="24"/>
        <v>Average</v>
      </c>
      <c r="F352" s="15">
        <v>52</v>
      </c>
      <c r="G352" s="30">
        <f t="shared" si="25"/>
        <v>37.361666666666665</v>
      </c>
      <c r="H352" s="15">
        <v>224170</v>
      </c>
      <c r="I352" s="15" t="str">
        <f t="shared" si="26"/>
        <v>Clean</v>
      </c>
      <c r="J352" s="15" t="b">
        <v>0</v>
      </c>
      <c r="K352" s="15" t="str">
        <f t="shared" si="27"/>
        <v>Moderate</v>
      </c>
      <c r="L352" s="15">
        <v>0.63800000000000001</v>
      </c>
      <c r="M352" s="15" t="str">
        <f t="shared" si="28"/>
        <v>Low Energy</v>
      </c>
      <c r="N352" s="15">
        <v>0.28699999999999998</v>
      </c>
      <c r="O352" s="15">
        <v>8</v>
      </c>
      <c r="P352" s="15">
        <v>-11.173999999999999</v>
      </c>
      <c r="Q352" s="15">
        <v>0</v>
      </c>
      <c r="R352" s="15">
        <v>4.1200000000000001E-2</v>
      </c>
      <c r="S352" s="15">
        <v>0.81</v>
      </c>
      <c r="T352" s="15">
        <v>0</v>
      </c>
      <c r="U352" s="15">
        <v>8.0399999999999999E-2</v>
      </c>
      <c r="V352" s="15">
        <v>0.44500000000000001</v>
      </c>
      <c r="W352" s="15">
        <v>128.02500000000001</v>
      </c>
      <c r="X352" s="15">
        <v>4</v>
      </c>
      <c r="Y352" s="16" t="s">
        <v>4</v>
      </c>
    </row>
    <row r="353" spans="1:25" x14ac:dyDescent="0.3">
      <c r="A353" s="17" t="s">
        <v>1066</v>
      </c>
      <c r="B353" s="18" t="s">
        <v>1067</v>
      </c>
      <c r="C353" s="18" t="s">
        <v>1068</v>
      </c>
      <c r="D353" s="18" t="s">
        <v>1069</v>
      </c>
      <c r="E353" s="18" t="str">
        <f t="shared" si="24"/>
        <v>Low</v>
      </c>
      <c r="F353" s="18">
        <v>21</v>
      </c>
      <c r="G353" s="30">
        <f t="shared" si="25"/>
        <v>39.834000000000003</v>
      </c>
      <c r="H353" s="18">
        <v>239004</v>
      </c>
      <c r="I353" s="18" t="str">
        <f t="shared" si="26"/>
        <v>Clean</v>
      </c>
      <c r="J353" s="18" t="b">
        <v>0</v>
      </c>
      <c r="K353" s="18" t="str">
        <f t="shared" si="27"/>
        <v>Moderate</v>
      </c>
      <c r="L353" s="18">
        <v>0.51500000000000001</v>
      </c>
      <c r="M353" s="18" t="str">
        <f t="shared" si="28"/>
        <v>Medium Energy</v>
      </c>
      <c r="N353" s="18">
        <v>0.46</v>
      </c>
      <c r="O353" s="18">
        <v>9</v>
      </c>
      <c r="P353" s="18">
        <v>-11.260999999999999</v>
      </c>
      <c r="Q353" s="18">
        <v>0</v>
      </c>
      <c r="R353" s="18">
        <v>4.36E-2</v>
      </c>
      <c r="S353" s="18">
        <v>0.89100000000000001</v>
      </c>
      <c r="T353" s="18">
        <v>0.14000000000000001</v>
      </c>
      <c r="U353" s="18">
        <v>8.7400000000000005E-2</v>
      </c>
      <c r="V353" s="18">
        <v>0.25900000000000001</v>
      </c>
      <c r="W353" s="18">
        <v>140.06700000000001</v>
      </c>
      <c r="X353" s="18">
        <v>4</v>
      </c>
      <c r="Y353" s="19" t="s">
        <v>4</v>
      </c>
    </row>
    <row r="354" spans="1:25" x14ac:dyDescent="0.3">
      <c r="A354" s="14" t="s">
        <v>1070</v>
      </c>
      <c r="B354" s="15" t="s">
        <v>644</v>
      </c>
      <c r="C354" s="15" t="s">
        <v>1071</v>
      </c>
      <c r="D354" s="15" t="s">
        <v>1071</v>
      </c>
      <c r="E354" s="15" t="str">
        <f t="shared" si="24"/>
        <v>Average</v>
      </c>
      <c r="F354" s="15">
        <v>50</v>
      </c>
      <c r="G354" s="30">
        <f t="shared" si="25"/>
        <v>30.218499999999999</v>
      </c>
      <c r="H354" s="15">
        <v>181311</v>
      </c>
      <c r="I354" s="15" t="str">
        <f t="shared" si="26"/>
        <v>Clean</v>
      </c>
      <c r="J354" s="15" t="b">
        <v>0</v>
      </c>
      <c r="K354" s="15" t="str">
        <f t="shared" si="27"/>
        <v>Moderate</v>
      </c>
      <c r="L354" s="15">
        <v>0.622</v>
      </c>
      <c r="M354" s="15" t="str">
        <f t="shared" si="28"/>
        <v>Low Energy</v>
      </c>
      <c r="N354" s="15">
        <v>0.221</v>
      </c>
      <c r="O354" s="15">
        <v>9</v>
      </c>
      <c r="P354" s="15">
        <v>-14.335000000000001</v>
      </c>
      <c r="Q354" s="15">
        <v>1</v>
      </c>
      <c r="R354" s="15">
        <v>5.8299999999999998E-2</v>
      </c>
      <c r="S354" s="15">
        <v>0.90100000000000002</v>
      </c>
      <c r="T354" s="15">
        <v>0</v>
      </c>
      <c r="U354" s="15">
        <v>0.107</v>
      </c>
      <c r="V354" s="15">
        <v>0.29699999999999999</v>
      </c>
      <c r="W354" s="15">
        <v>131.827</v>
      </c>
      <c r="X354" s="15">
        <v>4</v>
      </c>
      <c r="Y354" s="16" t="s">
        <v>4</v>
      </c>
    </row>
    <row r="355" spans="1:25" x14ac:dyDescent="0.3">
      <c r="A355" s="17" t="s">
        <v>1072</v>
      </c>
      <c r="B355" s="18" t="s">
        <v>1073</v>
      </c>
      <c r="C355" s="18" t="s">
        <v>1074</v>
      </c>
      <c r="D355" s="18" t="s">
        <v>1075</v>
      </c>
      <c r="E355" s="18" t="str">
        <f t="shared" si="24"/>
        <v>Average</v>
      </c>
      <c r="F355" s="18">
        <v>55</v>
      </c>
      <c r="G355" s="30">
        <f t="shared" si="25"/>
        <v>24.108833333333333</v>
      </c>
      <c r="H355" s="18">
        <v>144653</v>
      </c>
      <c r="I355" s="18" t="str">
        <f t="shared" si="26"/>
        <v>Clean</v>
      </c>
      <c r="J355" s="18" t="b">
        <v>0</v>
      </c>
      <c r="K355" s="18" t="str">
        <f t="shared" si="27"/>
        <v>Moderate</v>
      </c>
      <c r="L355" s="18">
        <v>0.44</v>
      </c>
      <c r="M355" s="18" t="str">
        <f t="shared" si="28"/>
        <v>Low Energy</v>
      </c>
      <c r="N355" s="18">
        <v>3.5299999999999998E-2</v>
      </c>
      <c r="O355" s="18">
        <v>6</v>
      </c>
      <c r="P355" s="18">
        <v>-20.858000000000001</v>
      </c>
      <c r="Q355" s="18">
        <v>1</v>
      </c>
      <c r="R355" s="18">
        <v>5.2200000000000003E-2</v>
      </c>
      <c r="S355" s="18">
        <v>0.99</v>
      </c>
      <c r="T355" s="18">
        <v>3.1199999999999999E-3</v>
      </c>
      <c r="U355" s="18">
        <v>0.108</v>
      </c>
      <c r="V355" s="18">
        <v>0.36199999999999999</v>
      </c>
      <c r="W355" s="18">
        <v>181.988</v>
      </c>
      <c r="X355" s="18">
        <v>4</v>
      </c>
      <c r="Y355" s="19" t="s">
        <v>4</v>
      </c>
    </row>
    <row r="356" spans="1:25" x14ac:dyDescent="0.3">
      <c r="A356" s="14" t="s">
        <v>1076</v>
      </c>
      <c r="B356" s="15" t="s">
        <v>14</v>
      </c>
      <c r="C356" s="15" t="s">
        <v>1077</v>
      </c>
      <c r="D356" s="15" t="s">
        <v>1077</v>
      </c>
      <c r="E356" s="15" t="str">
        <f t="shared" si="24"/>
        <v>Average</v>
      </c>
      <c r="F356" s="15">
        <v>46</v>
      </c>
      <c r="G356" s="30">
        <f t="shared" si="25"/>
        <v>39.189166666666665</v>
      </c>
      <c r="H356" s="15">
        <v>235135</v>
      </c>
      <c r="I356" s="15" t="str">
        <f t="shared" si="26"/>
        <v>Clean</v>
      </c>
      <c r="J356" s="15" t="b">
        <v>0</v>
      </c>
      <c r="K356" s="15" t="str">
        <f t="shared" si="27"/>
        <v>Moderate</v>
      </c>
      <c r="L356" s="15">
        <v>0.45700000000000002</v>
      </c>
      <c r="M356" s="15" t="str">
        <f t="shared" si="28"/>
        <v>Low Energy</v>
      </c>
      <c r="N356" s="15">
        <v>6.4000000000000001E-2</v>
      </c>
      <c r="O356" s="15">
        <v>6</v>
      </c>
      <c r="P356" s="15">
        <v>-19.928000000000001</v>
      </c>
      <c r="Q356" s="15">
        <v>1</v>
      </c>
      <c r="R356" s="15">
        <v>3.39E-2</v>
      </c>
      <c r="S356" s="15">
        <v>0.94099999999999995</v>
      </c>
      <c r="T356" s="15">
        <v>0.108</v>
      </c>
      <c r="U356" s="15">
        <v>0.107</v>
      </c>
      <c r="V356" s="15">
        <v>6.4699999999999994E-2</v>
      </c>
      <c r="W356" s="15">
        <v>147.82400000000001</v>
      </c>
      <c r="X356" s="15">
        <v>3</v>
      </c>
      <c r="Y356" s="16" t="s">
        <v>4</v>
      </c>
    </row>
    <row r="357" spans="1:25" x14ac:dyDescent="0.3">
      <c r="A357" s="17" t="s">
        <v>1078</v>
      </c>
      <c r="B357" s="18" t="s">
        <v>1079</v>
      </c>
      <c r="C357" s="18" t="s">
        <v>1080</v>
      </c>
      <c r="D357" s="18" t="s">
        <v>1081</v>
      </c>
      <c r="E357" s="18" t="str">
        <f t="shared" si="24"/>
        <v>Average</v>
      </c>
      <c r="F357" s="18">
        <v>56</v>
      </c>
      <c r="G357" s="30">
        <f t="shared" si="25"/>
        <v>41.393333333333331</v>
      </c>
      <c r="H357" s="18">
        <v>248360</v>
      </c>
      <c r="I357" s="18" t="str">
        <f t="shared" si="26"/>
        <v>Clean</v>
      </c>
      <c r="J357" s="18" t="b">
        <v>0</v>
      </c>
      <c r="K357" s="18" t="str">
        <f t="shared" si="27"/>
        <v>Moderate</v>
      </c>
      <c r="L357" s="18">
        <v>0.64900000000000002</v>
      </c>
      <c r="M357" s="18" t="str">
        <f t="shared" si="28"/>
        <v>High Energy</v>
      </c>
      <c r="N357" s="18">
        <v>0.82099999999999995</v>
      </c>
      <c r="O357" s="18">
        <v>1</v>
      </c>
      <c r="P357" s="18">
        <v>-6.4829999999999997</v>
      </c>
      <c r="Q357" s="18">
        <v>0</v>
      </c>
      <c r="R357" s="18">
        <v>3.1300000000000001E-2</v>
      </c>
      <c r="S357" s="18">
        <v>3.0200000000000001E-2</v>
      </c>
      <c r="T357" s="18">
        <v>1.4100000000000001E-4</v>
      </c>
      <c r="U357" s="18">
        <v>8.43E-2</v>
      </c>
      <c r="V357" s="18">
        <v>0.66100000000000003</v>
      </c>
      <c r="W357" s="18">
        <v>121.938</v>
      </c>
      <c r="X357" s="18">
        <v>4</v>
      </c>
      <c r="Y357" s="19" t="s">
        <v>4</v>
      </c>
    </row>
    <row r="358" spans="1:25" x14ac:dyDescent="0.3">
      <c r="A358" s="14" t="s">
        <v>1082</v>
      </c>
      <c r="B358" s="15" t="s">
        <v>1083</v>
      </c>
      <c r="C358" s="15" t="s">
        <v>1084</v>
      </c>
      <c r="D358" s="15" t="s">
        <v>1084</v>
      </c>
      <c r="E358" s="15" t="str">
        <f t="shared" si="24"/>
        <v>Average</v>
      </c>
      <c r="F358" s="15">
        <v>40</v>
      </c>
      <c r="G358" s="30">
        <f t="shared" si="25"/>
        <v>33.057333333333332</v>
      </c>
      <c r="H358" s="15">
        <v>198344</v>
      </c>
      <c r="I358" s="15" t="str">
        <f t="shared" si="26"/>
        <v>Clean</v>
      </c>
      <c r="J358" s="15" t="b">
        <v>0</v>
      </c>
      <c r="K358" s="15" t="str">
        <f t="shared" si="27"/>
        <v>Moderate</v>
      </c>
      <c r="L358" s="15">
        <v>0.495</v>
      </c>
      <c r="M358" s="15" t="str">
        <f t="shared" si="28"/>
        <v>Low Energy</v>
      </c>
      <c r="N358" s="15">
        <v>0.32900000000000001</v>
      </c>
      <c r="O358" s="15">
        <v>7</v>
      </c>
      <c r="P358" s="15">
        <v>-11.661</v>
      </c>
      <c r="Q358" s="15">
        <v>1</v>
      </c>
      <c r="R358" s="15">
        <v>3.8600000000000002E-2</v>
      </c>
      <c r="S358" s="15">
        <v>0.65200000000000002</v>
      </c>
      <c r="T358" s="20" t="s">
        <v>1085</v>
      </c>
      <c r="U358" s="15">
        <v>6.0600000000000001E-2</v>
      </c>
      <c r="V358" s="15">
        <v>9.1899999999999996E-2</v>
      </c>
      <c r="W358" s="15">
        <v>72.992000000000004</v>
      </c>
      <c r="X358" s="15">
        <v>4</v>
      </c>
      <c r="Y358" s="16" t="s">
        <v>4</v>
      </c>
    </row>
    <row r="359" spans="1:25" x14ac:dyDescent="0.3">
      <c r="A359" s="17" t="s">
        <v>1086</v>
      </c>
      <c r="B359" s="18" t="s">
        <v>30</v>
      </c>
      <c r="C359" s="18" t="s">
        <v>1087</v>
      </c>
      <c r="D359" s="18" t="s">
        <v>1088</v>
      </c>
      <c r="E359" s="18" t="str">
        <f t="shared" si="24"/>
        <v>Low</v>
      </c>
      <c r="F359" s="18">
        <v>21</v>
      </c>
      <c r="G359" s="30">
        <f t="shared" si="25"/>
        <v>39.9495</v>
      </c>
      <c r="H359" s="18">
        <v>239697</v>
      </c>
      <c r="I359" s="18" t="str">
        <f t="shared" si="26"/>
        <v>Clean</v>
      </c>
      <c r="J359" s="18" t="b">
        <v>0</v>
      </c>
      <c r="K359" s="18" t="str">
        <f t="shared" si="27"/>
        <v>Very Danceable</v>
      </c>
      <c r="L359" s="18">
        <v>0.71</v>
      </c>
      <c r="M359" s="18" t="str">
        <f t="shared" si="28"/>
        <v>Medium Energy</v>
      </c>
      <c r="N359" s="18">
        <v>0.61499999999999999</v>
      </c>
      <c r="O359" s="18">
        <v>0</v>
      </c>
      <c r="P359" s="18">
        <v>-8.23</v>
      </c>
      <c r="Q359" s="18">
        <v>1</v>
      </c>
      <c r="R359" s="18">
        <v>0.13300000000000001</v>
      </c>
      <c r="S359" s="18">
        <v>3.8399999999999997E-2</v>
      </c>
      <c r="T359" s="18">
        <v>0</v>
      </c>
      <c r="U359" s="18">
        <v>0.28299999999999997</v>
      </c>
      <c r="V359" s="18">
        <v>0.746</v>
      </c>
      <c r="W359" s="18">
        <v>90.263000000000005</v>
      </c>
      <c r="X359" s="18">
        <v>4</v>
      </c>
      <c r="Y359" s="19" t="s">
        <v>4</v>
      </c>
    </row>
    <row r="360" spans="1:25" x14ac:dyDescent="0.3">
      <c r="A360" s="14" t="s">
        <v>1089</v>
      </c>
      <c r="B360" s="15" t="s">
        <v>1090</v>
      </c>
      <c r="C360" s="15" t="s">
        <v>1091</v>
      </c>
      <c r="D360" s="15" t="s">
        <v>1091</v>
      </c>
      <c r="E360" s="15" t="str">
        <f t="shared" si="24"/>
        <v>Average</v>
      </c>
      <c r="F360" s="15">
        <v>55</v>
      </c>
      <c r="G360" s="30">
        <f t="shared" si="25"/>
        <v>31.055666666666667</v>
      </c>
      <c r="H360" s="15">
        <v>186334</v>
      </c>
      <c r="I360" s="15" t="str">
        <f t="shared" si="26"/>
        <v>Clean</v>
      </c>
      <c r="J360" s="15" t="b">
        <v>0</v>
      </c>
      <c r="K360" s="15" t="str">
        <f t="shared" si="27"/>
        <v>Moderate</v>
      </c>
      <c r="L360" s="15">
        <v>0.69</v>
      </c>
      <c r="M360" s="15" t="str">
        <f t="shared" si="28"/>
        <v>Low Energy</v>
      </c>
      <c r="N360" s="15">
        <v>0.20399999999999999</v>
      </c>
      <c r="O360" s="15">
        <v>7</v>
      </c>
      <c r="P360" s="15">
        <v>-12.427</v>
      </c>
      <c r="Q360" s="15">
        <v>1</v>
      </c>
      <c r="R360" s="15">
        <v>3.0099999999999998E-2</v>
      </c>
      <c r="S360" s="15">
        <v>0.93200000000000005</v>
      </c>
      <c r="T360" s="20" t="s">
        <v>1092</v>
      </c>
      <c r="U360" s="15">
        <v>0.11899999999999999</v>
      </c>
      <c r="V360" s="15">
        <v>0.52500000000000002</v>
      </c>
      <c r="W360" s="15">
        <v>139.58699999999999</v>
      </c>
      <c r="X360" s="15">
        <v>4</v>
      </c>
      <c r="Y360" s="16" t="s">
        <v>4</v>
      </c>
    </row>
    <row r="361" spans="1:25" x14ac:dyDescent="0.3">
      <c r="A361" s="17" t="s">
        <v>1093</v>
      </c>
      <c r="B361" s="18" t="s">
        <v>805</v>
      </c>
      <c r="C361" s="18" t="s">
        <v>51</v>
      </c>
      <c r="D361" s="18" t="s">
        <v>51</v>
      </c>
      <c r="E361" s="18" t="str">
        <f t="shared" si="24"/>
        <v>Average</v>
      </c>
      <c r="F361" s="18">
        <v>50</v>
      </c>
      <c r="G361" s="30">
        <f t="shared" si="25"/>
        <v>37.81283333333333</v>
      </c>
      <c r="H361" s="18">
        <v>226877</v>
      </c>
      <c r="I361" s="18" t="str">
        <f t="shared" si="26"/>
        <v>Clean</v>
      </c>
      <c r="J361" s="18" t="b">
        <v>0</v>
      </c>
      <c r="K361" s="18" t="str">
        <f t="shared" si="27"/>
        <v>Moderate</v>
      </c>
      <c r="L361" s="18">
        <v>0.59599999999999997</v>
      </c>
      <c r="M361" s="18" t="str">
        <f t="shared" si="28"/>
        <v>Low Energy</v>
      </c>
      <c r="N361" s="18">
        <v>0.19500000000000001</v>
      </c>
      <c r="O361" s="18">
        <v>7</v>
      </c>
      <c r="P361" s="18">
        <v>-11.02</v>
      </c>
      <c r="Q361" s="18">
        <v>1</v>
      </c>
      <c r="R361" s="18">
        <v>2.64E-2</v>
      </c>
      <c r="S361" s="18">
        <v>0.92600000000000005</v>
      </c>
      <c r="T361" s="18">
        <v>0</v>
      </c>
      <c r="U361" s="18">
        <v>0.13900000000000001</v>
      </c>
      <c r="V361" s="18">
        <v>0.17599999999999999</v>
      </c>
      <c r="W361" s="18">
        <v>82.114000000000004</v>
      </c>
      <c r="X361" s="18">
        <v>4</v>
      </c>
      <c r="Y361" s="19" t="s">
        <v>4</v>
      </c>
    </row>
    <row r="362" spans="1:25" x14ac:dyDescent="0.3">
      <c r="A362" s="14" t="s">
        <v>1094</v>
      </c>
      <c r="B362" s="15" t="s">
        <v>406</v>
      </c>
      <c r="C362" s="15" t="s">
        <v>1095</v>
      </c>
      <c r="D362" s="15" t="s">
        <v>1096</v>
      </c>
      <c r="E362" s="15" t="str">
        <f t="shared" si="24"/>
        <v>Average</v>
      </c>
      <c r="F362" s="15">
        <v>41</v>
      </c>
      <c r="G362" s="30">
        <f t="shared" si="25"/>
        <v>45.543333333333337</v>
      </c>
      <c r="H362" s="15">
        <v>273260</v>
      </c>
      <c r="I362" s="15" t="str">
        <f t="shared" si="26"/>
        <v>Clean</v>
      </c>
      <c r="J362" s="15" t="b">
        <v>0</v>
      </c>
      <c r="K362" s="15" t="str">
        <f t="shared" si="27"/>
        <v>Moderate</v>
      </c>
      <c r="L362" s="15">
        <v>0.66</v>
      </c>
      <c r="M362" s="15" t="str">
        <f t="shared" si="28"/>
        <v>High Energy</v>
      </c>
      <c r="N362" s="15">
        <v>0.74299999999999999</v>
      </c>
      <c r="O362" s="15">
        <v>9</v>
      </c>
      <c r="P362" s="15">
        <v>-8.3019999999999996</v>
      </c>
      <c r="Q362" s="15">
        <v>1</v>
      </c>
      <c r="R362" s="15">
        <v>5.0599999999999999E-2</v>
      </c>
      <c r="S362" s="15">
        <v>3.2899999999999999E-2</v>
      </c>
      <c r="T362" s="15">
        <v>1.3600000000000001E-3</v>
      </c>
      <c r="U362" s="15">
        <v>9.8000000000000004E-2</v>
      </c>
      <c r="V362" s="15">
        <v>0.44500000000000001</v>
      </c>
      <c r="W362" s="15">
        <v>130.02500000000001</v>
      </c>
      <c r="X362" s="15">
        <v>4</v>
      </c>
      <c r="Y362" s="16" t="s">
        <v>4</v>
      </c>
    </row>
    <row r="363" spans="1:25" x14ac:dyDescent="0.3">
      <c r="A363" s="17" t="s">
        <v>1097</v>
      </c>
      <c r="B363" s="18" t="s">
        <v>676</v>
      </c>
      <c r="C363" s="18" t="s">
        <v>1098</v>
      </c>
      <c r="D363" s="18" t="s">
        <v>1098</v>
      </c>
      <c r="E363" s="18" t="str">
        <f t="shared" si="24"/>
        <v>Average</v>
      </c>
      <c r="F363" s="18">
        <v>44</v>
      </c>
      <c r="G363" s="30">
        <f t="shared" si="25"/>
        <v>32.82</v>
      </c>
      <c r="H363" s="18">
        <v>196920</v>
      </c>
      <c r="I363" s="18" t="str">
        <f t="shared" si="26"/>
        <v>Clean</v>
      </c>
      <c r="J363" s="18" t="b">
        <v>0</v>
      </c>
      <c r="K363" s="18" t="str">
        <f t="shared" si="27"/>
        <v>Very Danceable</v>
      </c>
      <c r="L363" s="18">
        <v>0.73299999999999998</v>
      </c>
      <c r="M363" s="18" t="str">
        <f t="shared" si="28"/>
        <v>Medium Energy</v>
      </c>
      <c r="N363" s="18">
        <v>0.65700000000000003</v>
      </c>
      <c r="O363" s="18">
        <v>2</v>
      </c>
      <c r="P363" s="18">
        <v>-6.843</v>
      </c>
      <c r="Q363" s="18">
        <v>1</v>
      </c>
      <c r="R363" s="18">
        <v>2.7199999999999998E-2</v>
      </c>
      <c r="S363" s="18">
        <v>1.2999999999999999E-2</v>
      </c>
      <c r="T363" s="21" t="s">
        <v>1099</v>
      </c>
      <c r="U363" s="18">
        <v>0.317</v>
      </c>
      <c r="V363" s="18">
        <v>0.433</v>
      </c>
      <c r="W363" s="18">
        <v>109.95399999999999</v>
      </c>
      <c r="X363" s="18">
        <v>4</v>
      </c>
      <c r="Y363" s="19" t="s">
        <v>4</v>
      </c>
    </row>
    <row r="364" spans="1:25" x14ac:dyDescent="0.3">
      <c r="A364" s="14" t="s">
        <v>1100</v>
      </c>
      <c r="B364" s="15" t="s">
        <v>1101</v>
      </c>
      <c r="C364" s="15" t="s">
        <v>1102</v>
      </c>
      <c r="D364" s="15" t="s">
        <v>1103</v>
      </c>
      <c r="E364" s="15" t="str">
        <f t="shared" si="24"/>
        <v>Average</v>
      </c>
      <c r="F364" s="15">
        <v>57</v>
      </c>
      <c r="G364" s="30">
        <f t="shared" si="25"/>
        <v>24.175999999999998</v>
      </c>
      <c r="H364" s="15">
        <v>145056</v>
      </c>
      <c r="I364" s="15" t="str">
        <f t="shared" si="26"/>
        <v>Clean</v>
      </c>
      <c r="J364" s="15" t="b">
        <v>0</v>
      </c>
      <c r="K364" s="15" t="str">
        <f t="shared" si="27"/>
        <v>Moderate</v>
      </c>
      <c r="L364" s="15">
        <v>0.58899999999999997</v>
      </c>
      <c r="M364" s="15" t="str">
        <f t="shared" si="28"/>
        <v>Low Energy</v>
      </c>
      <c r="N364" s="15">
        <v>0.29599999999999999</v>
      </c>
      <c r="O364" s="15">
        <v>0</v>
      </c>
      <c r="P364" s="15">
        <v>-9.3350000000000009</v>
      </c>
      <c r="Q364" s="15">
        <v>1</v>
      </c>
      <c r="R364" s="15">
        <v>8.3000000000000004E-2</v>
      </c>
      <c r="S364" s="15">
        <v>0.84199999999999997</v>
      </c>
      <c r="T364" s="15">
        <v>0</v>
      </c>
      <c r="U364" s="15">
        <v>7.3599999999999999E-2</v>
      </c>
      <c r="V364" s="15">
        <v>0.61099999999999999</v>
      </c>
      <c r="W364" s="15">
        <v>165.79900000000001</v>
      </c>
      <c r="X364" s="15">
        <v>3</v>
      </c>
      <c r="Y364" s="16" t="s">
        <v>4</v>
      </c>
    </row>
    <row r="365" spans="1:25" x14ac:dyDescent="0.3">
      <c r="A365" s="17" t="s">
        <v>1104</v>
      </c>
      <c r="B365" s="18" t="s">
        <v>1105</v>
      </c>
      <c r="C365" s="18" t="s">
        <v>1106</v>
      </c>
      <c r="D365" s="18" t="s">
        <v>1107</v>
      </c>
      <c r="E365" s="18" t="str">
        <f t="shared" si="24"/>
        <v>Low</v>
      </c>
      <c r="F365" s="18">
        <v>33</v>
      </c>
      <c r="G365" s="30">
        <f t="shared" si="25"/>
        <v>32.670999999999999</v>
      </c>
      <c r="H365" s="18">
        <v>196026</v>
      </c>
      <c r="I365" s="18" t="str">
        <f t="shared" si="26"/>
        <v>Clean</v>
      </c>
      <c r="J365" s="18" t="b">
        <v>0</v>
      </c>
      <c r="K365" s="18" t="str">
        <f t="shared" si="27"/>
        <v>Moderate</v>
      </c>
      <c r="L365" s="18">
        <v>0.68600000000000005</v>
      </c>
      <c r="M365" s="18" t="str">
        <f t="shared" si="28"/>
        <v>Low Energy</v>
      </c>
      <c r="N365" s="18">
        <v>0.377</v>
      </c>
      <c r="O365" s="18">
        <v>9</v>
      </c>
      <c r="P365" s="18">
        <v>-9.59</v>
      </c>
      <c r="Q365" s="18">
        <v>1</v>
      </c>
      <c r="R365" s="18">
        <v>5.8900000000000001E-2</v>
      </c>
      <c r="S365" s="18">
        <v>0.63800000000000001</v>
      </c>
      <c r="T365" s="18">
        <v>0</v>
      </c>
      <c r="U365" s="18">
        <v>0.128</v>
      </c>
      <c r="V365" s="18">
        <v>0.55100000000000005</v>
      </c>
      <c r="W365" s="18">
        <v>92.042000000000002</v>
      </c>
      <c r="X365" s="18">
        <v>4</v>
      </c>
      <c r="Y365" s="19" t="s">
        <v>4</v>
      </c>
    </row>
    <row r="366" spans="1:25" x14ac:dyDescent="0.3">
      <c r="A366" s="14" t="s">
        <v>1108</v>
      </c>
      <c r="B366" s="15" t="s">
        <v>1109</v>
      </c>
      <c r="C366" s="15" t="s">
        <v>1110</v>
      </c>
      <c r="D366" s="15" t="s">
        <v>1111</v>
      </c>
      <c r="E366" s="15" t="str">
        <f t="shared" si="24"/>
        <v>Average</v>
      </c>
      <c r="F366" s="15">
        <v>56</v>
      </c>
      <c r="G366" s="30">
        <f t="shared" si="25"/>
        <v>32.171166666666664</v>
      </c>
      <c r="H366" s="15">
        <v>193027</v>
      </c>
      <c r="I366" s="15" t="str">
        <f t="shared" si="26"/>
        <v>Clean</v>
      </c>
      <c r="J366" s="15" t="b">
        <v>0</v>
      </c>
      <c r="K366" s="15" t="str">
        <f t="shared" si="27"/>
        <v>Moderate</v>
      </c>
      <c r="L366" s="15">
        <v>0.65900000000000003</v>
      </c>
      <c r="M366" s="15" t="str">
        <f t="shared" si="28"/>
        <v>Low Energy</v>
      </c>
      <c r="N366" s="15">
        <v>0.33800000000000002</v>
      </c>
      <c r="O366" s="15">
        <v>6</v>
      </c>
      <c r="P366" s="15">
        <v>-10.367000000000001</v>
      </c>
      <c r="Q366" s="15">
        <v>0</v>
      </c>
      <c r="R366" s="15">
        <v>3.7600000000000001E-2</v>
      </c>
      <c r="S366" s="15">
        <v>0.84199999999999997</v>
      </c>
      <c r="T366" s="15">
        <v>0</v>
      </c>
      <c r="U366" s="15">
        <v>0.27700000000000002</v>
      </c>
      <c r="V366" s="15">
        <v>0.495</v>
      </c>
      <c r="W366" s="15">
        <v>145.87700000000001</v>
      </c>
      <c r="X366" s="15">
        <v>4</v>
      </c>
      <c r="Y366" s="16" t="s">
        <v>4</v>
      </c>
    </row>
    <row r="367" spans="1:25" x14ac:dyDescent="0.3">
      <c r="A367" s="17" t="s">
        <v>1112</v>
      </c>
      <c r="B367" s="18" t="s">
        <v>1113</v>
      </c>
      <c r="C367" s="18" t="s">
        <v>1114</v>
      </c>
      <c r="D367" s="18" t="s">
        <v>1115</v>
      </c>
      <c r="E367" s="18" t="str">
        <f t="shared" si="24"/>
        <v>Low</v>
      </c>
      <c r="F367" s="18">
        <v>32</v>
      </c>
      <c r="G367" s="30">
        <f t="shared" si="25"/>
        <v>38.880000000000003</v>
      </c>
      <c r="H367" s="18">
        <v>233280</v>
      </c>
      <c r="I367" s="18" t="str">
        <f t="shared" si="26"/>
        <v>Clean</v>
      </c>
      <c r="J367" s="18" t="b">
        <v>0</v>
      </c>
      <c r="K367" s="18" t="str">
        <f t="shared" si="27"/>
        <v>Very Danceable</v>
      </c>
      <c r="L367" s="18">
        <v>0.73199999999999998</v>
      </c>
      <c r="M367" s="18" t="str">
        <f t="shared" si="28"/>
        <v>High Energy</v>
      </c>
      <c r="N367" s="18">
        <v>0.83</v>
      </c>
      <c r="O367" s="18">
        <v>0</v>
      </c>
      <c r="P367" s="18">
        <v>-6.63</v>
      </c>
      <c r="Q367" s="18">
        <v>1</v>
      </c>
      <c r="R367" s="18">
        <v>3.09E-2</v>
      </c>
      <c r="S367" s="18">
        <v>0.20100000000000001</v>
      </c>
      <c r="T367" s="21" t="s">
        <v>1116</v>
      </c>
      <c r="U367" s="18">
        <v>8.0199999999999994E-2</v>
      </c>
      <c r="V367" s="18">
        <v>0.871</v>
      </c>
      <c r="W367" s="18">
        <v>111.664</v>
      </c>
      <c r="X367" s="18">
        <v>4</v>
      </c>
      <c r="Y367" s="19" t="s">
        <v>4</v>
      </c>
    </row>
    <row r="368" spans="1:25" x14ac:dyDescent="0.3">
      <c r="A368" s="14" t="s">
        <v>1117</v>
      </c>
      <c r="B368" s="15" t="s">
        <v>1118</v>
      </c>
      <c r="C368" s="15" t="s">
        <v>1119</v>
      </c>
      <c r="D368" s="15" t="s">
        <v>1120</v>
      </c>
      <c r="E368" s="15" t="str">
        <f t="shared" si="24"/>
        <v>Low</v>
      </c>
      <c r="F368" s="15">
        <v>35</v>
      </c>
      <c r="G368" s="30">
        <f t="shared" si="25"/>
        <v>35.515166666666666</v>
      </c>
      <c r="H368" s="15">
        <v>213091</v>
      </c>
      <c r="I368" s="15" t="str">
        <f t="shared" si="26"/>
        <v>Clean</v>
      </c>
      <c r="J368" s="15" t="b">
        <v>0</v>
      </c>
      <c r="K368" s="15" t="str">
        <f t="shared" si="27"/>
        <v>Moderate</v>
      </c>
      <c r="L368" s="15">
        <v>0.52200000000000002</v>
      </c>
      <c r="M368" s="15" t="str">
        <f t="shared" si="28"/>
        <v>Low Energy</v>
      </c>
      <c r="N368" s="15">
        <v>0.20200000000000001</v>
      </c>
      <c r="O368" s="15">
        <v>9</v>
      </c>
      <c r="P368" s="15">
        <v>-13.38</v>
      </c>
      <c r="Q368" s="15">
        <v>1</v>
      </c>
      <c r="R368" s="15">
        <v>8.6099999999999996E-2</v>
      </c>
      <c r="S368" s="15">
        <v>0.91800000000000004</v>
      </c>
      <c r="T368" s="15">
        <v>0</v>
      </c>
      <c r="U368" s="15">
        <v>0.185</v>
      </c>
      <c r="V368" s="15">
        <v>0.45700000000000002</v>
      </c>
      <c r="W368" s="15">
        <v>147.99199999999999</v>
      </c>
      <c r="X368" s="15">
        <v>4</v>
      </c>
      <c r="Y368" s="16" t="s">
        <v>4</v>
      </c>
    </row>
    <row r="369" spans="1:25" x14ac:dyDescent="0.3">
      <c r="A369" s="17" t="s">
        <v>1121</v>
      </c>
      <c r="B369" s="18" t="s">
        <v>950</v>
      </c>
      <c r="C369" s="18" t="s">
        <v>951</v>
      </c>
      <c r="D369" s="18" t="s">
        <v>1122</v>
      </c>
      <c r="E369" s="18" t="str">
        <f t="shared" si="24"/>
        <v>Average</v>
      </c>
      <c r="F369" s="18">
        <v>55</v>
      </c>
      <c r="G369" s="30">
        <f t="shared" si="25"/>
        <v>42.257666666666665</v>
      </c>
      <c r="H369" s="18">
        <v>253546</v>
      </c>
      <c r="I369" s="18" t="str">
        <f t="shared" si="26"/>
        <v>Clean</v>
      </c>
      <c r="J369" s="18" t="b">
        <v>0</v>
      </c>
      <c r="K369" s="18" t="str">
        <f t="shared" si="27"/>
        <v>Moderate</v>
      </c>
      <c r="L369" s="18">
        <v>0.56499999999999995</v>
      </c>
      <c r="M369" s="18" t="str">
        <f t="shared" si="28"/>
        <v>Medium Energy</v>
      </c>
      <c r="N369" s="18">
        <v>0.69799999999999995</v>
      </c>
      <c r="O369" s="18">
        <v>0</v>
      </c>
      <c r="P369" s="18">
        <v>-8.5960000000000001</v>
      </c>
      <c r="Q369" s="18">
        <v>1</v>
      </c>
      <c r="R369" s="18">
        <v>2.9499999999999998E-2</v>
      </c>
      <c r="S369" s="18">
        <v>0.54</v>
      </c>
      <c r="T369" s="18">
        <v>1.83E-2</v>
      </c>
      <c r="U369" s="18">
        <v>0.124</v>
      </c>
      <c r="V369" s="18">
        <v>0.155</v>
      </c>
      <c r="W369" s="18">
        <v>120.01300000000001</v>
      </c>
      <c r="X369" s="18">
        <v>4</v>
      </c>
      <c r="Y369" s="19" t="s">
        <v>4</v>
      </c>
    </row>
    <row r="370" spans="1:25" x14ac:dyDescent="0.3">
      <c r="A370" s="14" t="s">
        <v>1123</v>
      </c>
      <c r="B370" s="15" t="s">
        <v>971</v>
      </c>
      <c r="C370" s="15" t="s">
        <v>1124</v>
      </c>
      <c r="D370" s="15" t="s">
        <v>1125</v>
      </c>
      <c r="E370" s="15" t="str">
        <f t="shared" si="24"/>
        <v>Low</v>
      </c>
      <c r="F370" s="15">
        <v>33</v>
      </c>
      <c r="G370" s="30">
        <f t="shared" si="25"/>
        <v>52.9</v>
      </c>
      <c r="H370" s="15">
        <v>317400</v>
      </c>
      <c r="I370" s="15" t="str">
        <f t="shared" si="26"/>
        <v>Clean</v>
      </c>
      <c r="J370" s="15" t="b">
        <v>0</v>
      </c>
      <c r="K370" s="15" t="str">
        <f t="shared" si="27"/>
        <v>Moderate</v>
      </c>
      <c r="L370" s="15">
        <v>0.47399999999999998</v>
      </c>
      <c r="M370" s="15" t="str">
        <f t="shared" si="28"/>
        <v>Medium Energy</v>
      </c>
      <c r="N370" s="15">
        <v>0.40799999999999997</v>
      </c>
      <c r="O370" s="15">
        <v>7</v>
      </c>
      <c r="P370" s="15">
        <v>-11.42</v>
      </c>
      <c r="Q370" s="15">
        <v>1</v>
      </c>
      <c r="R370" s="15">
        <v>3.32E-2</v>
      </c>
      <c r="S370" s="15">
        <v>0.60299999999999998</v>
      </c>
      <c r="T370" s="20" t="s">
        <v>1126</v>
      </c>
      <c r="U370" s="15">
        <v>0.104</v>
      </c>
      <c r="V370" s="15">
        <v>0.23799999999999999</v>
      </c>
      <c r="W370" s="15">
        <v>143.881</v>
      </c>
      <c r="X370" s="15">
        <v>4</v>
      </c>
      <c r="Y370" s="16" t="s">
        <v>4</v>
      </c>
    </row>
    <row r="371" spans="1:25" x14ac:dyDescent="0.3">
      <c r="A371" s="17" t="s">
        <v>1127</v>
      </c>
      <c r="B371" s="18" t="s">
        <v>1128</v>
      </c>
      <c r="C371" s="18" t="s">
        <v>1129</v>
      </c>
      <c r="D371" s="18" t="s">
        <v>1130</v>
      </c>
      <c r="E371" s="18" t="str">
        <f t="shared" si="24"/>
        <v>Average</v>
      </c>
      <c r="F371" s="18">
        <v>46</v>
      </c>
      <c r="G371" s="30">
        <f t="shared" si="25"/>
        <v>27.936</v>
      </c>
      <c r="H371" s="18">
        <v>167616</v>
      </c>
      <c r="I371" s="18" t="str">
        <f t="shared" si="26"/>
        <v>Clean</v>
      </c>
      <c r="J371" s="18" t="b">
        <v>0</v>
      </c>
      <c r="K371" s="18" t="str">
        <f t="shared" si="27"/>
        <v>Moderate</v>
      </c>
      <c r="L371" s="18">
        <v>0.54300000000000004</v>
      </c>
      <c r="M371" s="18" t="str">
        <f t="shared" si="28"/>
        <v>Low Energy</v>
      </c>
      <c r="N371" s="18">
        <v>0.24399999999999999</v>
      </c>
      <c r="O371" s="18">
        <v>0</v>
      </c>
      <c r="P371" s="18">
        <v>-8.0619999999999994</v>
      </c>
      <c r="Q371" s="18">
        <v>1</v>
      </c>
      <c r="R371" s="18">
        <v>5.11E-2</v>
      </c>
      <c r="S371" s="18">
        <v>0.86399999999999999</v>
      </c>
      <c r="T371" s="18">
        <v>0</v>
      </c>
      <c r="U371" s="18">
        <v>0.112</v>
      </c>
      <c r="V371" s="18">
        <v>0.28999999999999998</v>
      </c>
      <c r="W371" s="18">
        <v>126.34099999999999</v>
      </c>
      <c r="X371" s="18">
        <v>3</v>
      </c>
      <c r="Y371" s="19" t="s">
        <v>4</v>
      </c>
    </row>
    <row r="372" spans="1:25" x14ac:dyDescent="0.3">
      <c r="A372" s="14" t="s">
        <v>1131</v>
      </c>
      <c r="B372" s="15" t="s">
        <v>6</v>
      </c>
      <c r="C372" s="15" t="s">
        <v>1132</v>
      </c>
      <c r="D372" s="15" t="s">
        <v>1132</v>
      </c>
      <c r="E372" s="15" t="str">
        <f t="shared" si="24"/>
        <v>Low</v>
      </c>
      <c r="F372" s="15">
        <v>38</v>
      </c>
      <c r="G372" s="30">
        <f t="shared" si="25"/>
        <v>35.278666666666666</v>
      </c>
      <c r="H372" s="15">
        <v>211672</v>
      </c>
      <c r="I372" s="15" t="str">
        <f t="shared" si="26"/>
        <v>Clean</v>
      </c>
      <c r="J372" s="15" t="b">
        <v>0</v>
      </c>
      <c r="K372" s="15" t="str">
        <f t="shared" si="27"/>
        <v>Moderate</v>
      </c>
      <c r="L372" s="15">
        <v>0.67200000000000004</v>
      </c>
      <c r="M372" s="15" t="str">
        <f t="shared" si="28"/>
        <v>Medium Energy</v>
      </c>
      <c r="N372" s="15">
        <v>0.64400000000000002</v>
      </c>
      <c r="O372" s="15">
        <v>11</v>
      </c>
      <c r="P372" s="15">
        <v>-9.0630000000000006</v>
      </c>
      <c r="Q372" s="15">
        <v>1</v>
      </c>
      <c r="R372" s="15">
        <v>0.23599999999999999</v>
      </c>
      <c r="S372" s="15">
        <v>0.79500000000000004</v>
      </c>
      <c r="T372" s="15">
        <v>0</v>
      </c>
      <c r="U372" s="15">
        <v>0.14599999999999999</v>
      </c>
      <c r="V372" s="15">
        <v>0.54900000000000004</v>
      </c>
      <c r="W372" s="15">
        <v>148.13499999999999</v>
      </c>
      <c r="X372" s="15">
        <v>4</v>
      </c>
      <c r="Y372" s="16" t="s">
        <v>4</v>
      </c>
    </row>
    <row r="373" spans="1:25" x14ac:dyDescent="0.3">
      <c r="A373" s="17" t="s">
        <v>1133</v>
      </c>
      <c r="B373" s="18" t="s">
        <v>589</v>
      </c>
      <c r="C373" s="18" t="s">
        <v>1134</v>
      </c>
      <c r="D373" s="18" t="s">
        <v>1134</v>
      </c>
      <c r="E373" s="18" t="str">
        <f t="shared" si="24"/>
        <v>Popular</v>
      </c>
      <c r="F373" s="18">
        <v>65</v>
      </c>
      <c r="G373" s="30">
        <f t="shared" si="25"/>
        <v>45.707500000000003</v>
      </c>
      <c r="H373" s="18">
        <v>274245</v>
      </c>
      <c r="I373" s="18" t="str">
        <f t="shared" si="26"/>
        <v>Clean</v>
      </c>
      <c r="J373" s="18" t="b">
        <v>0</v>
      </c>
      <c r="K373" s="18" t="str">
        <f t="shared" si="27"/>
        <v>Moderate</v>
      </c>
      <c r="L373" s="18">
        <v>0.51500000000000001</v>
      </c>
      <c r="M373" s="18" t="str">
        <f t="shared" si="28"/>
        <v>High Energy</v>
      </c>
      <c r="N373" s="18">
        <v>0.76900000000000002</v>
      </c>
      <c r="O373" s="18">
        <v>7</v>
      </c>
      <c r="P373" s="18">
        <v>-5.6959999999999997</v>
      </c>
      <c r="Q373" s="18">
        <v>1</v>
      </c>
      <c r="R373" s="18">
        <v>3.1E-2</v>
      </c>
      <c r="S373" s="18">
        <v>4.5600000000000002E-2</v>
      </c>
      <c r="T373" s="18">
        <v>4.3600000000000002E-3</v>
      </c>
      <c r="U373" s="18">
        <v>9.6100000000000005E-2</v>
      </c>
      <c r="V373" s="18">
        <v>0.64400000000000002</v>
      </c>
      <c r="W373" s="18">
        <v>153.04599999999999</v>
      </c>
      <c r="X373" s="18">
        <v>4</v>
      </c>
      <c r="Y373" s="19" t="s">
        <v>4</v>
      </c>
    </row>
    <row r="374" spans="1:25" x14ac:dyDescent="0.3">
      <c r="A374" s="14" t="s">
        <v>1135</v>
      </c>
      <c r="B374" s="15" t="s">
        <v>1136</v>
      </c>
      <c r="C374" s="15" t="s">
        <v>1137</v>
      </c>
      <c r="D374" s="15" t="s">
        <v>1138</v>
      </c>
      <c r="E374" s="15" t="str">
        <f t="shared" si="24"/>
        <v>Popular</v>
      </c>
      <c r="F374" s="15">
        <v>60</v>
      </c>
      <c r="G374" s="30">
        <f t="shared" si="25"/>
        <v>28.34</v>
      </c>
      <c r="H374" s="15">
        <v>170040</v>
      </c>
      <c r="I374" s="15" t="str">
        <f t="shared" si="26"/>
        <v>Clean</v>
      </c>
      <c r="J374" s="15" t="b">
        <v>0</v>
      </c>
      <c r="K374" s="15" t="str">
        <f t="shared" si="27"/>
        <v>Very Danceable</v>
      </c>
      <c r="L374" s="15">
        <v>0.75900000000000001</v>
      </c>
      <c r="M374" s="15" t="str">
        <f t="shared" si="28"/>
        <v>Medium Energy</v>
      </c>
      <c r="N374" s="15">
        <v>0.68400000000000005</v>
      </c>
      <c r="O374" s="15">
        <v>0</v>
      </c>
      <c r="P374" s="15">
        <v>-5.7510000000000003</v>
      </c>
      <c r="Q374" s="15">
        <v>1</v>
      </c>
      <c r="R374" s="15">
        <v>3.15E-2</v>
      </c>
      <c r="S374" s="15">
        <v>0.26900000000000002</v>
      </c>
      <c r="T374" s="15">
        <v>0</v>
      </c>
      <c r="U374" s="15">
        <v>0.13</v>
      </c>
      <c r="V374" s="15">
        <v>0.75900000000000001</v>
      </c>
      <c r="W374" s="15">
        <v>107.94799999999999</v>
      </c>
      <c r="X374" s="15">
        <v>4</v>
      </c>
      <c r="Y374" s="16" t="s">
        <v>4</v>
      </c>
    </row>
    <row r="375" spans="1:25" x14ac:dyDescent="0.3">
      <c r="A375" s="17" t="s">
        <v>1139</v>
      </c>
      <c r="B375" s="18" t="s">
        <v>319</v>
      </c>
      <c r="C375" s="18" t="s">
        <v>343</v>
      </c>
      <c r="D375" s="18" t="s">
        <v>1140</v>
      </c>
      <c r="E375" s="18" t="str">
        <f t="shared" si="24"/>
        <v>Average</v>
      </c>
      <c r="F375" s="18">
        <v>54</v>
      </c>
      <c r="G375" s="30">
        <f t="shared" si="25"/>
        <v>44.627499999999998</v>
      </c>
      <c r="H375" s="18">
        <v>267765</v>
      </c>
      <c r="I375" s="18" t="str">
        <f t="shared" si="26"/>
        <v>Clean</v>
      </c>
      <c r="J375" s="18" t="b">
        <v>0</v>
      </c>
      <c r="K375" s="18" t="str">
        <f t="shared" si="27"/>
        <v>Moderate</v>
      </c>
      <c r="L375" s="18">
        <v>0.62</v>
      </c>
      <c r="M375" s="18" t="str">
        <f t="shared" si="28"/>
        <v>Low Energy</v>
      </c>
      <c r="N375" s="18">
        <v>0.21</v>
      </c>
      <c r="O375" s="18">
        <v>11</v>
      </c>
      <c r="P375" s="18">
        <v>-9.6329999999999991</v>
      </c>
      <c r="Q375" s="18">
        <v>0</v>
      </c>
      <c r="R375" s="18">
        <v>2.7400000000000001E-2</v>
      </c>
      <c r="S375" s="18">
        <v>0.91100000000000003</v>
      </c>
      <c r="T375" s="21" t="s">
        <v>1141</v>
      </c>
      <c r="U375" s="18">
        <v>0.108</v>
      </c>
      <c r="V375" s="18">
        <v>0.16300000000000001</v>
      </c>
      <c r="W375" s="18">
        <v>98.558000000000007</v>
      </c>
      <c r="X375" s="18">
        <v>3</v>
      </c>
      <c r="Y375" s="19" t="s">
        <v>4</v>
      </c>
    </row>
    <row r="376" spans="1:25" x14ac:dyDescent="0.3">
      <c r="A376" s="14" t="s">
        <v>1142</v>
      </c>
      <c r="B376" s="15" t="s">
        <v>1143</v>
      </c>
      <c r="C376" s="15" t="s">
        <v>1144</v>
      </c>
      <c r="D376" s="15" t="s">
        <v>1145</v>
      </c>
      <c r="E376" s="15" t="str">
        <f t="shared" si="24"/>
        <v>Low</v>
      </c>
      <c r="F376" s="15">
        <v>37</v>
      </c>
      <c r="G376" s="30">
        <f t="shared" si="25"/>
        <v>41.691000000000003</v>
      </c>
      <c r="H376" s="15">
        <v>250146</v>
      </c>
      <c r="I376" s="15" t="str">
        <f t="shared" si="26"/>
        <v>Clean</v>
      </c>
      <c r="J376" s="15" t="b">
        <v>0</v>
      </c>
      <c r="K376" s="15" t="str">
        <f t="shared" si="27"/>
        <v>Moderate</v>
      </c>
      <c r="L376" s="15">
        <v>0.497</v>
      </c>
      <c r="M376" s="15" t="str">
        <f t="shared" si="28"/>
        <v>Low Energy</v>
      </c>
      <c r="N376" s="15">
        <v>0.254</v>
      </c>
      <c r="O376" s="15">
        <v>8</v>
      </c>
      <c r="P376" s="15">
        <v>-11.715999999999999</v>
      </c>
      <c r="Q376" s="15">
        <v>0</v>
      </c>
      <c r="R376" s="15">
        <v>3.4099999999999998E-2</v>
      </c>
      <c r="S376" s="15">
        <v>0.89100000000000001</v>
      </c>
      <c r="T376" s="15">
        <v>4.41E-2</v>
      </c>
      <c r="U376" s="15">
        <v>0.122</v>
      </c>
      <c r="V376" s="15">
        <v>6.7599999999999993E-2</v>
      </c>
      <c r="W376" s="15">
        <v>110.864</v>
      </c>
      <c r="X376" s="15">
        <v>3</v>
      </c>
      <c r="Y376" s="16" t="s">
        <v>4</v>
      </c>
    </row>
    <row r="377" spans="1:25" x14ac:dyDescent="0.3">
      <c r="A377" s="17" t="s">
        <v>1146</v>
      </c>
      <c r="B377" s="18" t="s">
        <v>971</v>
      </c>
      <c r="C377" s="18" t="s">
        <v>1124</v>
      </c>
      <c r="D377" s="18" t="s">
        <v>1147</v>
      </c>
      <c r="E377" s="18" t="str">
        <f t="shared" si="24"/>
        <v>Low</v>
      </c>
      <c r="F377" s="18">
        <v>34</v>
      </c>
      <c r="G377" s="30">
        <f t="shared" si="25"/>
        <v>48.413333333333334</v>
      </c>
      <c r="H377" s="18">
        <v>290480</v>
      </c>
      <c r="I377" s="18" t="str">
        <f t="shared" si="26"/>
        <v>Clean</v>
      </c>
      <c r="J377" s="18" t="b">
        <v>0</v>
      </c>
      <c r="K377" s="18" t="str">
        <f t="shared" si="27"/>
        <v>Moderate</v>
      </c>
      <c r="L377" s="18">
        <v>0.64400000000000002</v>
      </c>
      <c r="M377" s="18" t="str">
        <f t="shared" si="28"/>
        <v>Medium Energy</v>
      </c>
      <c r="N377" s="18">
        <v>0.60299999999999998</v>
      </c>
      <c r="O377" s="18">
        <v>10</v>
      </c>
      <c r="P377" s="18">
        <v>-5.83</v>
      </c>
      <c r="Q377" s="18">
        <v>1</v>
      </c>
      <c r="R377" s="18">
        <v>2.63E-2</v>
      </c>
      <c r="S377" s="18">
        <v>0.30599999999999999</v>
      </c>
      <c r="T377" s="18">
        <v>0</v>
      </c>
      <c r="U377" s="18">
        <v>0.26200000000000001</v>
      </c>
      <c r="V377" s="18">
        <v>0.51600000000000001</v>
      </c>
      <c r="W377" s="18">
        <v>113.413</v>
      </c>
      <c r="X377" s="18">
        <v>4</v>
      </c>
      <c r="Y377" s="19" t="s">
        <v>4</v>
      </c>
    </row>
    <row r="378" spans="1:25" x14ac:dyDescent="0.3">
      <c r="A378" s="14" t="s">
        <v>1148</v>
      </c>
      <c r="B378" s="15" t="s">
        <v>319</v>
      </c>
      <c r="C378" s="15" t="s">
        <v>72</v>
      </c>
      <c r="D378" s="15" t="s">
        <v>1149</v>
      </c>
      <c r="E378" s="15" t="str">
        <f t="shared" si="24"/>
        <v>Average</v>
      </c>
      <c r="F378" s="15">
        <v>55</v>
      </c>
      <c r="G378" s="30">
        <f t="shared" si="25"/>
        <v>33.036333333333332</v>
      </c>
      <c r="H378" s="15">
        <v>198218</v>
      </c>
      <c r="I378" s="15" t="str">
        <f t="shared" si="26"/>
        <v>Clean</v>
      </c>
      <c r="J378" s="15" t="b">
        <v>0</v>
      </c>
      <c r="K378" s="15" t="str">
        <f t="shared" si="27"/>
        <v>Moderate</v>
      </c>
      <c r="L378" s="15">
        <v>0.45</v>
      </c>
      <c r="M378" s="15" t="str">
        <f t="shared" si="28"/>
        <v>Low Energy</v>
      </c>
      <c r="N378" s="15">
        <v>0.254</v>
      </c>
      <c r="O378" s="15">
        <v>4</v>
      </c>
      <c r="P378" s="15">
        <v>-9.8729999999999993</v>
      </c>
      <c r="Q378" s="15">
        <v>1</v>
      </c>
      <c r="R378" s="15">
        <v>4.1399999999999999E-2</v>
      </c>
      <c r="S378" s="15">
        <v>0.82699999999999996</v>
      </c>
      <c r="T378" s="15">
        <v>0</v>
      </c>
      <c r="U378" s="15">
        <v>0.20399999999999999</v>
      </c>
      <c r="V378" s="15">
        <v>0.248</v>
      </c>
      <c r="W378" s="15">
        <v>92.644000000000005</v>
      </c>
      <c r="X378" s="15">
        <v>4</v>
      </c>
      <c r="Y378" s="16" t="s">
        <v>4</v>
      </c>
    </row>
    <row r="379" spans="1:25" x14ac:dyDescent="0.3">
      <c r="A379" s="17" t="s">
        <v>1150</v>
      </c>
      <c r="B379" s="18" t="s">
        <v>205</v>
      </c>
      <c r="C379" s="18" t="s">
        <v>1151</v>
      </c>
      <c r="D379" s="18" t="s">
        <v>1152</v>
      </c>
      <c r="E379" s="18" t="str">
        <f t="shared" si="24"/>
        <v>Average</v>
      </c>
      <c r="F379" s="18">
        <v>51</v>
      </c>
      <c r="G379" s="30">
        <f t="shared" si="25"/>
        <v>37.56666666666667</v>
      </c>
      <c r="H379" s="18">
        <v>225400</v>
      </c>
      <c r="I379" s="18" t="str">
        <f t="shared" si="26"/>
        <v>Clean</v>
      </c>
      <c r="J379" s="18" t="b">
        <v>0</v>
      </c>
      <c r="K379" s="18" t="str">
        <f t="shared" si="27"/>
        <v>Moderate</v>
      </c>
      <c r="L379" s="18">
        <v>0.54800000000000004</v>
      </c>
      <c r="M379" s="18" t="str">
        <f t="shared" si="28"/>
        <v>Low Energy</v>
      </c>
      <c r="N379" s="18">
        <v>0.3</v>
      </c>
      <c r="O379" s="18">
        <v>4</v>
      </c>
      <c r="P379" s="18">
        <v>-12.71</v>
      </c>
      <c r="Q379" s="18">
        <v>1</v>
      </c>
      <c r="R379" s="18">
        <v>2.98E-2</v>
      </c>
      <c r="S379" s="18">
        <v>0.75700000000000001</v>
      </c>
      <c r="T379" s="21" t="s">
        <v>1153</v>
      </c>
      <c r="U379" s="18">
        <v>8.5099999999999995E-2</v>
      </c>
      <c r="V379" s="18">
        <v>0.26400000000000001</v>
      </c>
      <c r="W379" s="18">
        <v>135.90199999999999</v>
      </c>
      <c r="X379" s="18">
        <v>4</v>
      </c>
      <c r="Y379" s="19" t="s">
        <v>4</v>
      </c>
    </row>
    <row r="380" spans="1:25" x14ac:dyDescent="0.3">
      <c r="A380" s="14" t="s">
        <v>1154</v>
      </c>
      <c r="B380" s="15" t="s">
        <v>1155</v>
      </c>
      <c r="C380" s="15" t="s">
        <v>1156</v>
      </c>
      <c r="D380" s="15" t="s">
        <v>1157</v>
      </c>
      <c r="E380" s="15" t="str">
        <f t="shared" si="24"/>
        <v>Average</v>
      </c>
      <c r="F380" s="15">
        <v>48</v>
      </c>
      <c r="G380" s="30">
        <f t="shared" si="25"/>
        <v>43.31283333333333</v>
      </c>
      <c r="H380" s="15">
        <v>259877</v>
      </c>
      <c r="I380" s="15" t="str">
        <f t="shared" si="26"/>
        <v>Clean</v>
      </c>
      <c r="J380" s="15" t="b">
        <v>0</v>
      </c>
      <c r="K380" s="15" t="str">
        <f t="shared" si="27"/>
        <v>Moderate</v>
      </c>
      <c r="L380" s="15">
        <v>0.52100000000000002</v>
      </c>
      <c r="M380" s="15" t="str">
        <f t="shared" si="28"/>
        <v>Medium Energy</v>
      </c>
      <c r="N380" s="15">
        <v>0.50700000000000001</v>
      </c>
      <c r="O380" s="15">
        <v>7</v>
      </c>
      <c r="P380" s="15">
        <v>-7.0069999999999997</v>
      </c>
      <c r="Q380" s="15">
        <v>1</v>
      </c>
      <c r="R380" s="15">
        <v>3.1899999999999998E-2</v>
      </c>
      <c r="S380" s="15">
        <v>1.6199999999999999E-2</v>
      </c>
      <c r="T380" s="20" t="s">
        <v>1158</v>
      </c>
      <c r="U380" s="15">
        <v>0.14799999999999999</v>
      </c>
      <c r="V380" s="15">
        <v>0.153</v>
      </c>
      <c r="W380" s="15">
        <v>108.16800000000001</v>
      </c>
      <c r="X380" s="15">
        <v>4</v>
      </c>
      <c r="Y380" s="16" t="s">
        <v>4</v>
      </c>
    </row>
    <row r="381" spans="1:25" x14ac:dyDescent="0.3">
      <c r="A381" s="17" t="s">
        <v>1159</v>
      </c>
      <c r="B381" s="18" t="s">
        <v>971</v>
      </c>
      <c r="C381" s="18" t="s">
        <v>1160</v>
      </c>
      <c r="D381" s="18" t="s">
        <v>1161</v>
      </c>
      <c r="E381" s="18" t="str">
        <f t="shared" si="24"/>
        <v>Low</v>
      </c>
      <c r="F381" s="18">
        <v>34</v>
      </c>
      <c r="G381" s="30">
        <f t="shared" si="25"/>
        <v>48.070999999999998</v>
      </c>
      <c r="H381" s="18">
        <v>288426</v>
      </c>
      <c r="I381" s="18" t="str">
        <f t="shared" si="26"/>
        <v>Clean</v>
      </c>
      <c r="J381" s="18" t="b">
        <v>0</v>
      </c>
      <c r="K381" s="18" t="str">
        <f t="shared" si="27"/>
        <v>Moderate</v>
      </c>
      <c r="L381" s="18">
        <v>0.58699999999999997</v>
      </c>
      <c r="M381" s="18" t="str">
        <f t="shared" si="28"/>
        <v>High Energy</v>
      </c>
      <c r="N381" s="18">
        <v>0.84199999999999997</v>
      </c>
      <c r="O381" s="18">
        <v>4</v>
      </c>
      <c r="P381" s="18">
        <v>-6.04</v>
      </c>
      <c r="Q381" s="18">
        <v>1</v>
      </c>
      <c r="R381" s="18">
        <v>2.6800000000000001E-2</v>
      </c>
      <c r="S381" s="18">
        <v>0.27800000000000002</v>
      </c>
      <c r="T381" s="18">
        <v>0</v>
      </c>
      <c r="U381" s="18">
        <v>0.16300000000000001</v>
      </c>
      <c r="V381" s="18">
        <v>0.69299999999999995</v>
      </c>
      <c r="W381" s="18">
        <v>97.013000000000005</v>
      </c>
      <c r="X381" s="18">
        <v>4</v>
      </c>
      <c r="Y381" s="19" t="s">
        <v>4</v>
      </c>
    </row>
    <row r="382" spans="1:25" x14ac:dyDescent="0.3">
      <c r="A382" s="14" t="s">
        <v>1162</v>
      </c>
      <c r="B382" s="15" t="s">
        <v>388</v>
      </c>
      <c r="C382" s="15" t="s">
        <v>1163</v>
      </c>
      <c r="D382" s="15" t="s">
        <v>1163</v>
      </c>
      <c r="E382" s="15" t="str">
        <f t="shared" si="24"/>
        <v>Average</v>
      </c>
      <c r="F382" s="15">
        <v>51</v>
      </c>
      <c r="G382" s="30">
        <f t="shared" si="25"/>
        <v>36.560499999999998</v>
      </c>
      <c r="H382" s="15">
        <v>219363</v>
      </c>
      <c r="I382" s="15" t="str">
        <f t="shared" si="26"/>
        <v>Clean</v>
      </c>
      <c r="J382" s="15" t="b">
        <v>0</v>
      </c>
      <c r="K382" s="15" t="str">
        <f t="shared" si="27"/>
        <v>Moderate</v>
      </c>
      <c r="L382" s="15">
        <v>0.54300000000000004</v>
      </c>
      <c r="M382" s="15" t="str">
        <f t="shared" si="28"/>
        <v>Low Energy</v>
      </c>
      <c r="N382" s="15">
        <v>0.32400000000000001</v>
      </c>
      <c r="O382" s="15">
        <v>0</v>
      </c>
      <c r="P382" s="15">
        <v>-11.257999999999999</v>
      </c>
      <c r="Q382" s="15">
        <v>1</v>
      </c>
      <c r="R382" s="15">
        <v>3.1600000000000003E-2</v>
      </c>
      <c r="S382" s="15">
        <v>0.45200000000000001</v>
      </c>
      <c r="T382" s="20" t="s">
        <v>1164</v>
      </c>
      <c r="U382" s="15">
        <v>0.41199999999999998</v>
      </c>
      <c r="V382" s="15">
        <v>0.18099999999999999</v>
      </c>
      <c r="W382" s="15">
        <v>139.88300000000001</v>
      </c>
      <c r="X382" s="15">
        <v>4</v>
      </c>
      <c r="Y382" s="16" t="s">
        <v>4</v>
      </c>
    </row>
    <row r="383" spans="1:25" x14ac:dyDescent="0.3">
      <c r="A383" s="17" t="s">
        <v>1165</v>
      </c>
      <c r="B383" s="18" t="s">
        <v>238</v>
      </c>
      <c r="C383" s="18" t="s">
        <v>1166</v>
      </c>
      <c r="D383" s="18" t="s">
        <v>1166</v>
      </c>
      <c r="E383" s="18" t="str">
        <f t="shared" si="24"/>
        <v>Average</v>
      </c>
      <c r="F383" s="18">
        <v>54</v>
      </c>
      <c r="G383" s="30">
        <f t="shared" si="25"/>
        <v>34.737666666666669</v>
      </c>
      <c r="H383" s="18">
        <v>208426</v>
      </c>
      <c r="I383" s="18" t="str">
        <f t="shared" si="26"/>
        <v>Clean</v>
      </c>
      <c r="J383" s="18" t="b">
        <v>0</v>
      </c>
      <c r="K383" s="18" t="str">
        <f t="shared" si="27"/>
        <v>Very Danceable</v>
      </c>
      <c r="L383" s="18">
        <v>0.74199999999999999</v>
      </c>
      <c r="M383" s="18" t="str">
        <f t="shared" si="28"/>
        <v>Medium Energy</v>
      </c>
      <c r="N383" s="18">
        <v>0.63600000000000001</v>
      </c>
      <c r="O383" s="18">
        <v>11</v>
      </c>
      <c r="P383" s="18">
        <v>-6.7439999999999998</v>
      </c>
      <c r="Q383" s="18">
        <v>1</v>
      </c>
      <c r="R383" s="18">
        <v>3.3099999999999997E-2</v>
      </c>
      <c r="S383" s="18">
        <v>0.44600000000000001</v>
      </c>
      <c r="T383" s="18">
        <v>0</v>
      </c>
      <c r="U383" s="18">
        <v>8.1699999999999995E-2</v>
      </c>
      <c r="V383" s="18">
        <v>0.48</v>
      </c>
      <c r="W383" s="18">
        <v>95.001999999999995</v>
      </c>
      <c r="X383" s="18">
        <v>4</v>
      </c>
      <c r="Y383" s="19" t="s">
        <v>4</v>
      </c>
    </row>
    <row r="384" spans="1:25" x14ac:dyDescent="0.3">
      <c r="A384" s="14" t="s">
        <v>1167</v>
      </c>
      <c r="B384" s="15" t="s">
        <v>1168</v>
      </c>
      <c r="C384" s="15" t="s">
        <v>1169</v>
      </c>
      <c r="D384" s="15" t="s">
        <v>1169</v>
      </c>
      <c r="E384" s="15" t="str">
        <f t="shared" si="24"/>
        <v>Low</v>
      </c>
      <c r="F384" s="15">
        <v>32</v>
      </c>
      <c r="G384" s="30">
        <f t="shared" si="25"/>
        <v>47.24666666666667</v>
      </c>
      <c r="H384" s="15">
        <v>283480</v>
      </c>
      <c r="I384" s="15" t="str">
        <f t="shared" si="26"/>
        <v>Clean</v>
      </c>
      <c r="J384" s="15" t="b">
        <v>0</v>
      </c>
      <c r="K384" s="15" t="str">
        <f t="shared" si="27"/>
        <v>Very Danceable</v>
      </c>
      <c r="L384" s="15">
        <v>0.70699999999999996</v>
      </c>
      <c r="M384" s="15" t="str">
        <f t="shared" si="28"/>
        <v>Medium Energy</v>
      </c>
      <c r="N384" s="15">
        <v>0.40200000000000002</v>
      </c>
      <c r="O384" s="15">
        <v>4</v>
      </c>
      <c r="P384" s="15">
        <v>-9.7729999999999997</v>
      </c>
      <c r="Q384" s="15">
        <v>1</v>
      </c>
      <c r="R384" s="15">
        <v>2.5100000000000001E-2</v>
      </c>
      <c r="S384" s="15">
        <v>0.67700000000000005</v>
      </c>
      <c r="T384" s="15">
        <v>0</v>
      </c>
      <c r="U384" s="15">
        <v>0.104</v>
      </c>
      <c r="V384" s="15">
        <v>0.313</v>
      </c>
      <c r="W384" s="15">
        <v>94.99</v>
      </c>
      <c r="X384" s="15">
        <v>4</v>
      </c>
      <c r="Y384" s="16" t="s">
        <v>4</v>
      </c>
    </row>
    <row r="385" spans="1:25" x14ac:dyDescent="0.3">
      <c r="A385" s="17" t="s">
        <v>1170</v>
      </c>
      <c r="B385" s="18" t="s">
        <v>238</v>
      </c>
      <c r="C385" s="18" t="s">
        <v>652</v>
      </c>
      <c r="D385" s="18" t="s">
        <v>1171</v>
      </c>
      <c r="E385" s="18" t="str">
        <f t="shared" si="24"/>
        <v>Average</v>
      </c>
      <c r="F385" s="18">
        <v>54</v>
      </c>
      <c r="G385" s="30">
        <f t="shared" si="25"/>
        <v>34.264333333333333</v>
      </c>
      <c r="H385" s="18">
        <v>205586</v>
      </c>
      <c r="I385" s="18" t="str">
        <f t="shared" si="26"/>
        <v>Clean</v>
      </c>
      <c r="J385" s="18" t="b">
        <v>0</v>
      </c>
      <c r="K385" s="18" t="str">
        <f t="shared" si="27"/>
        <v>Moderate</v>
      </c>
      <c r="L385" s="18">
        <v>0.52</v>
      </c>
      <c r="M385" s="18" t="str">
        <f t="shared" si="28"/>
        <v>Low Energy</v>
      </c>
      <c r="N385" s="18">
        <v>0.308</v>
      </c>
      <c r="O385" s="18">
        <v>7</v>
      </c>
      <c r="P385" s="18">
        <v>-11.996</v>
      </c>
      <c r="Q385" s="18">
        <v>1</v>
      </c>
      <c r="R385" s="18">
        <v>3.3099999999999997E-2</v>
      </c>
      <c r="S385" s="18">
        <v>0.77600000000000002</v>
      </c>
      <c r="T385" s="18">
        <v>2.8500000000000001E-3</v>
      </c>
      <c r="U385" s="18">
        <v>0.115</v>
      </c>
      <c r="V385" s="18">
        <v>0.187</v>
      </c>
      <c r="W385" s="18">
        <v>125.93</v>
      </c>
      <c r="X385" s="18">
        <v>3</v>
      </c>
      <c r="Y385" s="19" t="s">
        <v>4</v>
      </c>
    </row>
    <row r="386" spans="1:25" x14ac:dyDescent="0.3">
      <c r="A386" s="14" t="s">
        <v>1172</v>
      </c>
      <c r="B386" s="15" t="s">
        <v>1173</v>
      </c>
      <c r="C386" s="15" t="s">
        <v>716</v>
      </c>
      <c r="D386" s="15" t="s">
        <v>1174</v>
      </c>
      <c r="E386" s="15" t="str">
        <f t="shared" ref="E386:E449" si="29">IF( F386&gt;=80,"Hit",
IF(F386&gt;=60,"Popular",
IF( F386&gt;=40,"Average","Low")))</f>
        <v>Popular</v>
      </c>
      <c r="F386" s="15">
        <v>61</v>
      </c>
      <c r="G386" s="30">
        <f t="shared" ref="G386:G449" si="30">H386/6000</f>
        <v>50.715499999999999</v>
      </c>
      <c r="H386" s="15">
        <v>304293</v>
      </c>
      <c r="I386" s="15" t="str">
        <f t="shared" ref="I386:I449" si="31">IF(E386=TRUE,"Explicit","Clean")</f>
        <v>Clean</v>
      </c>
      <c r="J386" s="15" t="b">
        <v>0</v>
      </c>
      <c r="K386" s="15" t="str">
        <f t="shared" ref="K386:K449" si="32">IF(L386&gt;=0.7,"Very Danceable",
IF( L386&gt;=0.4,"Moderate","Low"))</f>
        <v>Low</v>
      </c>
      <c r="L386" s="15">
        <v>0.39200000000000002</v>
      </c>
      <c r="M386" s="15" t="str">
        <f t="shared" ref="M386:M449" si="33">IF( N386&gt;=0.7,"High Energy",
IF( N386&gt;=0.4,"Medium Energy","Low Energy"))</f>
        <v>Low Energy</v>
      </c>
      <c r="N386" s="15">
        <v>0.251</v>
      </c>
      <c r="O386" s="15">
        <v>10</v>
      </c>
      <c r="P386" s="15">
        <v>-9.8450000000000006</v>
      </c>
      <c r="Q386" s="15">
        <v>1</v>
      </c>
      <c r="R386" s="15">
        <v>3.6299999999999999E-2</v>
      </c>
      <c r="S386" s="15">
        <v>0.80700000000000005</v>
      </c>
      <c r="T386" s="15">
        <v>0</v>
      </c>
      <c r="U386" s="15">
        <v>7.9699999999999993E-2</v>
      </c>
      <c r="V386" s="15">
        <v>0.50800000000000001</v>
      </c>
      <c r="W386" s="15">
        <v>204.96100000000001</v>
      </c>
      <c r="X386" s="15">
        <v>4</v>
      </c>
      <c r="Y386" s="16" t="s">
        <v>4</v>
      </c>
    </row>
    <row r="387" spans="1:25" x14ac:dyDescent="0.3">
      <c r="A387" s="17" t="s">
        <v>1175</v>
      </c>
      <c r="B387" s="18" t="s">
        <v>319</v>
      </c>
      <c r="C387" s="18" t="s">
        <v>716</v>
      </c>
      <c r="D387" s="18" t="s">
        <v>1176</v>
      </c>
      <c r="E387" s="18" t="str">
        <f t="shared" si="29"/>
        <v>Average</v>
      </c>
      <c r="F387" s="18">
        <v>55</v>
      </c>
      <c r="G387" s="30">
        <f t="shared" si="30"/>
        <v>39.92883333333333</v>
      </c>
      <c r="H387" s="18">
        <v>239573</v>
      </c>
      <c r="I387" s="18" t="str">
        <f t="shared" si="31"/>
        <v>Clean</v>
      </c>
      <c r="J387" s="18" t="b">
        <v>0</v>
      </c>
      <c r="K387" s="18" t="str">
        <f t="shared" si="32"/>
        <v>Moderate</v>
      </c>
      <c r="L387" s="18">
        <v>0.53100000000000003</v>
      </c>
      <c r="M387" s="18" t="str">
        <f t="shared" si="33"/>
        <v>Low Energy</v>
      </c>
      <c r="N387" s="18">
        <v>0.29599999999999999</v>
      </c>
      <c r="O387" s="18">
        <v>1</v>
      </c>
      <c r="P387" s="18">
        <v>-7.5940000000000003</v>
      </c>
      <c r="Q387" s="18">
        <v>1</v>
      </c>
      <c r="R387" s="18">
        <v>3.04E-2</v>
      </c>
      <c r="S387" s="18">
        <v>0.84</v>
      </c>
      <c r="T387" s="18">
        <v>0</v>
      </c>
      <c r="U387" s="18">
        <v>0.124</v>
      </c>
      <c r="V387" s="18">
        <v>0.21199999999999999</v>
      </c>
      <c r="W387" s="18">
        <v>106.35899999999999</v>
      </c>
      <c r="X387" s="18">
        <v>4</v>
      </c>
      <c r="Y387" s="19" t="s">
        <v>4</v>
      </c>
    </row>
    <row r="388" spans="1:25" x14ac:dyDescent="0.3">
      <c r="A388" s="14" t="s">
        <v>1177</v>
      </c>
      <c r="B388" s="15" t="s">
        <v>164</v>
      </c>
      <c r="C388" s="15" t="s">
        <v>1011</v>
      </c>
      <c r="D388" s="15" t="s">
        <v>1011</v>
      </c>
      <c r="E388" s="15" t="str">
        <f t="shared" si="29"/>
        <v>Average</v>
      </c>
      <c r="F388" s="15">
        <v>55</v>
      </c>
      <c r="G388" s="30">
        <f t="shared" si="30"/>
        <v>37.854666666666667</v>
      </c>
      <c r="H388" s="15">
        <v>227128</v>
      </c>
      <c r="I388" s="15" t="str">
        <f t="shared" si="31"/>
        <v>Clean</v>
      </c>
      <c r="J388" s="15" t="b">
        <v>0</v>
      </c>
      <c r="K388" s="15" t="str">
        <f t="shared" si="32"/>
        <v>Moderate</v>
      </c>
      <c r="L388" s="15">
        <v>0.68100000000000005</v>
      </c>
      <c r="M388" s="15" t="str">
        <f t="shared" si="33"/>
        <v>Medium Energy</v>
      </c>
      <c r="N388" s="15">
        <v>0.60799999999999998</v>
      </c>
      <c r="O388" s="15">
        <v>8</v>
      </c>
      <c r="P388" s="15">
        <v>-8.3689999999999998</v>
      </c>
      <c r="Q388" s="15">
        <v>1</v>
      </c>
      <c r="R388" s="15">
        <v>3.39E-2</v>
      </c>
      <c r="S388" s="15">
        <v>0.62</v>
      </c>
      <c r="T388" s="15">
        <v>4.2499999999999998E-4</v>
      </c>
      <c r="U388" s="15">
        <v>0.13600000000000001</v>
      </c>
      <c r="V388" s="15">
        <v>0.315</v>
      </c>
      <c r="W388" s="15">
        <v>123.991</v>
      </c>
      <c r="X388" s="15">
        <v>4</v>
      </c>
      <c r="Y388" s="16" t="s">
        <v>4</v>
      </c>
    </row>
    <row r="389" spans="1:25" x14ac:dyDescent="0.3">
      <c r="A389" s="17" t="s">
        <v>1178</v>
      </c>
      <c r="B389" s="18" t="s">
        <v>971</v>
      </c>
      <c r="C389" s="18" t="s">
        <v>1179</v>
      </c>
      <c r="D389" s="18" t="s">
        <v>1180</v>
      </c>
      <c r="E389" s="18" t="str">
        <f t="shared" si="29"/>
        <v>Low</v>
      </c>
      <c r="F389" s="18">
        <v>34</v>
      </c>
      <c r="G389" s="30">
        <f t="shared" si="30"/>
        <v>40.511000000000003</v>
      </c>
      <c r="H389" s="18">
        <v>243066</v>
      </c>
      <c r="I389" s="18" t="str">
        <f t="shared" si="31"/>
        <v>Clean</v>
      </c>
      <c r="J389" s="18" t="b">
        <v>0</v>
      </c>
      <c r="K389" s="18" t="str">
        <f t="shared" si="32"/>
        <v>Moderate</v>
      </c>
      <c r="L389" s="18">
        <v>0.56899999999999995</v>
      </c>
      <c r="M389" s="18" t="str">
        <f t="shared" si="33"/>
        <v>High Energy</v>
      </c>
      <c r="N389" s="18">
        <v>0.86099999999999999</v>
      </c>
      <c r="O389" s="18">
        <v>1</v>
      </c>
      <c r="P389" s="18">
        <v>-4.5469999999999997</v>
      </c>
      <c r="Q389" s="18">
        <v>0</v>
      </c>
      <c r="R389" s="18">
        <v>4.0599999999999997E-2</v>
      </c>
      <c r="S389" s="18">
        <v>4.2500000000000003E-2</v>
      </c>
      <c r="T389" s="18">
        <v>0</v>
      </c>
      <c r="U389" s="18">
        <v>0.20399999999999999</v>
      </c>
      <c r="V389" s="18">
        <v>0.51100000000000001</v>
      </c>
      <c r="W389" s="18">
        <v>77.983000000000004</v>
      </c>
      <c r="X389" s="18">
        <v>4</v>
      </c>
      <c r="Y389" s="19" t="s">
        <v>4</v>
      </c>
    </row>
    <row r="390" spans="1:25" x14ac:dyDescent="0.3">
      <c r="A390" s="14" t="s">
        <v>1181</v>
      </c>
      <c r="B390" s="15" t="s">
        <v>1182</v>
      </c>
      <c r="C390" s="15" t="s">
        <v>1183</v>
      </c>
      <c r="D390" s="15" t="s">
        <v>1184</v>
      </c>
      <c r="E390" s="15" t="str">
        <f t="shared" si="29"/>
        <v>Low</v>
      </c>
      <c r="F390" s="15">
        <v>33</v>
      </c>
      <c r="G390" s="30">
        <f t="shared" si="30"/>
        <v>61.533333333333331</v>
      </c>
      <c r="H390" s="15">
        <v>369200</v>
      </c>
      <c r="I390" s="15" t="str">
        <f t="shared" si="31"/>
        <v>Clean</v>
      </c>
      <c r="J390" s="15" t="b">
        <v>0</v>
      </c>
      <c r="K390" s="15" t="str">
        <f t="shared" si="32"/>
        <v>Very Danceable</v>
      </c>
      <c r="L390" s="15">
        <v>0.70699999999999996</v>
      </c>
      <c r="M390" s="15" t="str">
        <f t="shared" si="33"/>
        <v>Low Energy</v>
      </c>
      <c r="N390" s="15">
        <v>0.29599999999999999</v>
      </c>
      <c r="O390" s="15">
        <v>7</v>
      </c>
      <c r="P390" s="15">
        <v>-11.632999999999999</v>
      </c>
      <c r="Q390" s="15">
        <v>1</v>
      </c>
      <c r="R390" s="15">
        <v>7.8E-2</v>
      </c>
      <c r="S390" s="15">
        <v>0.28299999999999997</v>
      </c>
      <c r="T390" s="15">
        <v>0</v>
      </c>
      <c r="U390" s="15">
        <v>6.0100000000000001E-2</v>
      </c>
      <c r="V390" s="15">
        <v>0.65</v>
      </c>
      <c r="W390" s="15">
        <v>88.006</v>
      </c>
      <c r="X390" s="15">
        <v>4</v>
      </c>
      <c r="Y390" s="16" t="s">
        <v>4</v>
      </c>
    </row>
    <row r="391" spans="1:25" x14ac:dyDescent="0.3">
      <c r="A391" s="17" t="s">
        <v>1185</v>
      </c>
      <c r="B391" s="18" t="s">
        <v>1186</v>
      </c>
      <c r="C391" s="18" t="s">
        <v>1187</v>
      </c>
      <c r="D391" s="18" t="s">
        <v>1188</v>
      </c>
      <c r="E391" s="18" t="str">
        <f t="shared" si="29"/>
        <v>Average</v>
      </c>
      <c r="F391" s="18">
        <v>45</v>
      </c>
      <c r="G391" s="30">
        <f t="shared" si="30"/>
        <v>12.848833333333333</v>
      </c>
      <c r="H391" s="18">
        <v>77093</v>
      </c>
      <c r="I391" s="18" t="str">
        <f t="shared" si="31"/>
        <v>Clean</v>
      </c>
      <c r="J391" s="18" t="b">
        <v>0</v>
      </c>
      <c r="K391" s="18" t="str">
        <f t="shared" si="32"/>
        <v>Moderate</v>
      </c>
      <c r="L391" s="18">
        <v>0.51900000000000002</v>
      </c>
      <c r="M391" s="18" t="str">
        <f t="shared" si="33"/>
        <v>Low Energy</v>
      </c>
      <c r="N391" s="18">
        <v>6.4600000000000005E-2</v>
      </c>
      <c r="O391" s="18">
        <v>2</v>
      </c>
      <c r="P391" s="18">
        <v>-18.898</v>
      </c>
      <c r="Q391" s="18">
        <v>1</v>
      </c>
      <c r="R391" s="18">
        <v>4.3299999999999998E-2</v>
      </c>
      <c r="S391" s="18">
        <v>0.98199999999999998</v>
      </c>
      <c r="T391" s="21" t="s">
        <v>1189</v>
      </c>
      <c r="U391" s="18">
        <v>0.105</v>
      </c>
      <c r="V391" s="18">
        <v>0.39500000000000002</v>
      </c>
      <c r="W391" s="18">
        <v>121.696</v>
      </c>
      <c r="X391" s="18">
        <v>4</v>
      </c>
      <c r="Y391" s="19" t="s">
        <v>4</v>
      </c>
    </row>
    <row r="392" spans="1:25" x14ac:dyDescent="0.3">
      <c r="A392" s="14" t="s">
        <v>1190</v>
      </c>
      <c r="B392" s="15" t="s">
        <v>1182</v>
      </c>
      <c r="C392" s="15" t="s">
        <v>1191</v>
      </c>
      <c r="D392" s="15" t="s">
        <v>1192</v>
      </c>
      <c r="E392" s="15" t="str">
        <f t="shared" si="29"/>
        <v>Low</v>
      </c>
      <c r="F392" s="15">
        <v>33</v>
      </c>
      <c r="G392" s="30">
        <f t="shared" si="30"/>
        <v>40.806666666666665</v>
      </c>
      <c r="H392" s="15">
        <v>244840</v>
      </c>
      <c r="I392" s="15" t="str">
        <f t="shared" si="31"/>
        <v>Clean</v>
      </c>
      <c r="J392" s="15" t="b">
        <v>0</v>
      </c>
      <c r="K392" s="15" t="str">
        <f t="shared" si="32"/>
        <v>Moderate</v>
      </c>
      <c r="L392" s="15">
        <v>0.60799999999999998</v>
      </c>
      <c r="M392" s="15" t="str">
        <f t="shared" si="33"/>
        <v>High Energy</v>
      </c>
      <c r="N392" s="15">
        <v>0.70499999999999996</v>
      </c>
      <c r="O392" s="15">
        <v>3</v>
      </c>
      <c r="P392" s="15">
        <v>-5.1779999999999999</v>
      </c>
      <c r="Q392" s="15">
        <v>1</v>
      </c>
      <c r="R392" s="15">
        <v>2.53E-2</v>
      </c>
      <c r="S392" s="15">
        <v>7.8E-2</v>
      </c>
      <c r="T392" s="20" t="s">
        <v>1193</v>
      </c>
      <c r="U392" s="15">
        <v>0.17899999999999999</v>
      </c>
      <c r="V392" s="15">
        <v>0.621</v>
      </c>
      <c r="W392" s="15">
        <v>111.20399999999999</v>
      </c>
      <c r="X392" s="15">
        <v>4</v>
      </c>
      <c r="Y392" s="16" t="s">
        <v>4</v>
      </c>
    </row>
    <row r="393" spans="1:25" x14ac:dyDescent="0.3">
      <c r="A393" s="17" t="s">
        <v>1194</v>
      </c>
      <c r="B393" s="18" t="s">
        <v>971</v>
      </c>
      <c r="C393" s="18" t="s">
        <v>1195</v>
      </c>
      <c r="D393" s="18" t="s">
        <v>1195</v>
      </c>
      <c r="E393" s="18" t="str">
        <f t="shared" si="29"/>
        <v>Low</v>
      </c>
      <c r="F393" s="18">
        <v>34</v>
      </c>
      <c r="G393" s="30">
        <f t="shared" si="30"/>
        <v>45.87766666666667</v>
      </c>
      <c r="H393" s="18">
        <v>275266</v>
      </c>
      <c r="I393" s="18" t="str">
        <f t="shared" si="31"/>
        <v>Clean</v>
      </c>
      <c r="J393" s="18" t="b">
        <v>0</v>
      </c>
      <c r="K393" s="18" t="str">
        <f t="shared" si="32"/>
        <v>Moderate</v>
      </c>
      <c r="L393" s="18">
        <v>0.58499999999999996</v>
      </c>
      <c r="M393" s="18" t="str">
        <f t="shared" si="33"/>
        <v>High Energy</v>
      </c>
      <c r="N393" s="18">
        <v>0.73399999999999999</v>
      </c>
      <c r="O393" s="18">
        <v>9</v>
      </c>
      <c r="P393" s="18">
        <v>-5.3650000000000002</v>
      </c>
      <c r="Q393" s="18">
        <v>1</v>
      </c>
      <c r="R393" s="18">
        <v>3.2000000000000001E-2</v>
      </c>
      <c r="S393" s="18">
        <v>3.3399999999999999E-2</v>
      </c>
      <c r="T393" s="18">
        <v>0</v>
      </c>
      <c r="U393" s="18">
        <v>9.3399999999999997E-2</v>
      </c>
      <c r="V393" s="18">
        <v>0.41299999999999998</v>
      </c>
      <c r="W393" s="18">
        <v>117.84</v>
      </c>
      <c r="X393" s="18">
        <v>4</v>
      </c>
      <c r="Y393" s="19" t="s">
        <v>4</v>
      </c>
    </row>
    <row r="394" spans="1:25" x14ac:dyDescent="0.3">
      <c r="A394" s="14" t="s">
        <v>1196</v>
      </c>
      <c r="B394" s="15" t="s">
        <v>971</v>
      </c>
      <c r="C394" s="15" t="s">
        <v>1197</v>
      </c>
      <c r="D394" s="15" t="s">
        <v>1198</v>
      </c>
      <c r="E394" s="15" t="str">
        <f t="shared" si="29"/>
        <v>Low</v>
      </c>
      <c r="F394" s="15">
        <v>34</v>
      </c>
      <c r="G394" s="30">
        <f t="shared" si="30"/>
        <v>55.12</v>
      </c>
      <c r="H394" s="15">
        <v>330720</v>
      </c>
      <c r="I394" s="15" t="str">
        <f t="shared" si="31"/>
        <v>Clean</v>
      </c>
      <c r="J394" s="15" t="b">
        <v>0</v>
      </c>
      <c r="K394" s="15" t="str">
        <f t="shared" si="32"/>
        <v>Moderate</v>
      </c>
      <c r="L394" s="15">
        <v>0.52700000000000002</v>
      </c>
      <c r="M394" s="15" t="str">
        <f t="shared" si="33"/>
        <v>High Energy</v>
      </c>
      <c r="N394" s="15">
        <v>0.89</v>
      </c>
      <c r="O394" s="15">
        <v>7</v>
      </c>
      <c r="P394" s="15">
        <v>-5.6509999999999998</v>
      </c>
      <c r="Q394" s="15">
        <v>1</v>
      </c>
      <c r="R394" s="15">
        <v>6.6500000000000004E-2</v>
      </c>
      <c r="S394" s="15">
        <v>4.3299999999999996E-3</v>
      </c>
      <c r="T394" s="15">
        <v>0</v>
      </c>
      <c r="U394" s="15">
        <v>0.11799999999999999</v>
      </c>
      <c r="V394" s="15">
        <v>0.42499999999999999</v>
      </c>
      <c r="W394" s="15">
        <v>102.64400000000001</v>
      </c>
      <c r="X394" s="15">
        <v>4</v>
      </c>
      <c r="Y394" s="16" t="s">
        <v>4</v>
      </c>
    </row>
    <row r="395" spans="1:25" x14ac:dyDescent="0.3">
      <c r="A395" s="17" t="s">
        <v>1199</v>
      </c>
      <c r="B395" s="18" t="s">
        <v>243</v>
      </c>
      <c r="C395" s="18" t="s">
        <v>80</v>
      </c>
      <c r="D395" s="18" t="s">
        <v>1200</v>
      </c>
      <c r="E395" s="18" t="str">
        <f t="shared" si="29"/>
        <v>Average</v>
      </c>
      <c r="F395" s="18">
        <v>49</v>
      </c>
      <c r="G395" s="30">
        <f t="shared" si="30"/>
        <v>27.326666666666668</v>
      </c>
      <c r="H395" s="18">
        <v>163960</v>
      </c>
      <c r="I395" s="18" t="str">
        <f t="shared" si="31"/>
        <v>Clean</v>
      </c>
      <c r="J395" s="18" t="b">
        <v>0</v>
      </c>
      <c r="K395" s="18" t="str">
        <f t="shared" si="32"/>
        <v>Moderate</v>
      </c>
      <c r="L395" s="18">
        <v>0.495</v>
      </c>
      <c r="M395" s="18" t="str">
        <f t="shared" si="33"/>
        <v>Low Energy</v>
      </c>
      <c r="N395" s="18">
        <v>0.22</v>
      </c>
      <c r="O395" s="18">
        <v>5</v>
      </c>
      <c r="P395" s="18">
        <v>-11.16</v>
      </c>
      <c r="Q395" s="18">
        <v>1</v>
      </c>
      <c r="R395" s="18">
        <v>3.5499999999999997E-2</v>
      </c>
      <c r="S395" s="18">
        <v>0.84699999999999998</v>
      </c>
      <c r="T395" s="21" t="s">
        <v>1201</v>
      </c>
      <c r="U395" s="18">
        <v>9.5699999999999993E-2</v>
      </c>
      <c r="V395" s="18">
        <v>0.34499999999999997</v>
      </c>
      <c r="W395" s="18">
        <v>126.61799999999999</v>
      </c>
      <c r="X395" s="18">
        <v>4</v>
      </c>
      <c r="Y395" s="19" t="s">
        <v>4</v>
      </c>
    </row>
    <row r="396" spans="1:25" x14ac:dyDescent="0.3">
      <c r="A396" s="14" t="s">
        <v>1202</v>
      </c>
      <c r="B396" s="15" t="s">
        <v>1203</v>
      </c>
      <c r="C396" s="15" t="s">
        <v>1204</v>
      </c>
      <c r="D396" s="15" t="s">
        <v>1204</v>
      </c>
      <c r="E396" s="15" t="str">
        <f t="shared" si="29"/>
        <v>Low</v>
      </c>
      <c r="F396" s="15">
        <v>33</v>
      </c>
      <c r="G396" s="30">
        <f t="shared" si="30"/>
        <v>32.312333333333335</v>
      </c>
      <c r="H396" s="15">
        <v>193874</v>
      </c>
      <c r="I396" s="15" t="str">
        <f t="shared" si="31"/>
        <v>Clean</v>
      </c>
      <c r="J396" s="15" t="b">
        <v>0</v>
      </c>
      <c r="K396" s="15" t="str">
        <f t="shared" si="32"/>
        <v>Moderate</v>
      </c>
      <c r="L396" s="15">
        <v>0.628</v>
      </c>
      <c r="M396" s="15" t="str">
        <f t="shared" si="33"/>
        <v>Medium Energy</v>
      </c>
      <c r="N396" s="15">
        <v>0.42399999999999999</v>
      </c>
      <c r="O396" s="15">
        <v>6</v>
      </c>
      <c r="P396" s="15">
        <v>-8.5389999999999997</v>
      </c>
      <c r="Q396" s="15">
        <v>1</v>
      </c>
      <c r="R396" s="15">
        <v>4.1599999999999998E-2</v>
      </c>
      <c r="S396" s="15">
        <v>0.39500000000000002</v>
      </c>
      <c r="T396" s="20" t="s">
        <v>1205</v>
      </c>
      <c r="U396" s="15">
        <v>0.106</v>
      </c>
      <c r="V396" s="15">
        <v>0.157</v>
      </c>
      <c r="W396" s="15">
        <v>99.695999999999998</v>
      </c>
      <c r="X396" s="15">
        <v>1</v>
      </c>
      <c r="Y396" s="16" t="s">
        <v>4</v>
      </c>
    </row>
    <row r="397" spans="1:25" x14ac:dyDescent="0.3">
      <c r="A397" s="17" t="s">
        <v>1206</v>
      </c>
      <c r="B397" s="18" t="s">
        <v>120</v>
      </c>
      <c r="C397" s="18" t="s">
        <v>1207</v>
      </c>
      <c r="D397" s="18" t="s">
        <v>1208</v>
      </c>
      <c r="E397" s="18" t="str">
        <f t="shared" si="29"/>
        <v>Popular</v>
      </c>
      <c r="F397" s="18">
        <v>62</v>
      </c>
      <c r="G397" s="30">
        <f t="shared" si="30"/>
        <v>35.622</v>
      </c>
      <c r="H397" s="18">
        <v>213732</v>
      </c>
      <c r="I397" s="18" t="str">
        <f t="shared" si="31"/>
        <v>Clean</v>
      </c>
      <c r="J397" s="18" t="b">
        <v>0</v>
      </c>
      <c r="K397" s="18" t="str">
        <f t="shared" si="32"/>
        <v>Moderate</v>
      </c>
      <c r="L397" s="18">
        <v>0.63900000000000001</v>
      </c>
      <c r="M397" s="18" t="str">
        <f t="shared" si="33"/>
        <v>Medium Energy</v>
      </c>
      <c r="N397" s="18">
        <v>0.66600000000000004</v>
      </c>
      <c r="O397" s="18">
        <v>0</v>
      </c>
      <c r="P397" s="18">
        <v>-7.7750000000000004</v>
      </c>
      <c r="Q397" s="18">
        <v>1</v>
      </c>
      <c r="R397" s="18">
        <v>6.3600000000000004E-2</v>
      </c>
      <c r="S397" s="18">
        <v>0.27100000000000002</v>
      </c>
      <c r="T397" s="18">
        <v>0</v>
      </c>
      <c r="U397" s="18">
        <v>0.111</v>
      </c>
      <c r="V397" s="18">
        <v>0.372</v>
      </c>
      <c r="W397" s="18">
        <v>98.384</v>
      </c>
      <c r="X397" s="18">
        <v>4</v>
      </c>
      <c r="Y397" s="19" t="s">
        <v>4</v>
      </c>
    </row>
    <row r="398" spans="1:25" x14ac:dyDescent="0.3">
      <c r="A398" s="14" t="s">
        <v>1209</v>
      </c>
      <c r="B398" s="15" t="s">
        <v>1210</v>
      </c>
      <c r="C398" s="15" t="s">
        <v>1211</v>
      </c>
      <c r="D398" s="15" t="s">
        <v>1212</v>
      </c>
      <c r="E398" s="15" t="str">
        <f t="shared" si="29"/>
        <v>Low</v>
      </c>
      <c r="F398" s="15">
        <v>33</v>
      </c>
      <c r="G398" s="30">
        <f t="shared" si="30"/>
        <v>37.842166666666664</v>
      </c>
      <c r="H398" s="15">
        <v>227053</v>
      </c>
      <c r="I398" s="15" t="str">
        <f t="shared" si="31"/>
        <v>Clean</v>
      </c>
      <c r="J398" s="15" t="b">
        <v>0</v>
      </c>
      <c r="K398" s="15" t="str">
        <f t="shared" si="32"/>
        <v>Low</v>
      </c>
      <c r="L398" s="15">
        <v>0.245</v>
      </c>
      <c r="M398" s="15" t="str">
        <f t="shared" si="33"/>
        <v>Medium Energy</v>
      </c>
      <c r="N398" s="15">
        <v>0.624</v>
      </c>
      <c r="O398" s="15">
        <v>2</v>
      </c>
      <c r="P398" s="15">
        <v>-5.6059999999999999</v>
      </c>
      <c r="Q398" s="15">
        <v>1</v>
      </c>
      <c r="R398" s="15">
        <v>3.6799999999999999E-2</v>
      </c>
      <c r="S398" s="15">
        <v>0.11</v>
      </c>
      <c r="T398" s="15">
        <v>0</v>
      </c>
      <c r="U398" s="15">
        <v>0.36299999999999999</v>
      </c>
      <c r="V398" s="15">
        <v>0.46200000000000002</v>
      </c>
      <c r="W398" s="15">
        <v>162.58600000000001</v>
      </c>
      <c r="X398" s="15">
        <v>3</v>
      </c>
      <c r="Y398" s="16" t="s">
        <v>4</v>
      </c>
    </row>
    <row r="399" spans="1:25" x14ac:dyDescent="0.3">
      <c r="A399" s="17" t="s">
        <v>1213</v>
      </c>
      <c r="B399" s="18" t="s">
        <v>1053</v>
      </c>
      <c r="C399" s="18" t="s">
        <v>1214</v>
      </c>
      <c r="D399" s="18" t="s">
        <v>1215</v>
      </c>
      <c r="E399" s="18" t="str">
        <f t="shared" si="29"/>
        <v>Low</v>
      </c>
      <c r="F399" s="18">
        <v>31</v>
      </c>
      <c r="G399" s="30">
        <f t="shared" si="30"/>
        <v>35.906666666666666</v>
      </c>
      <c r="H399" s="18">
        <v>215440</v>
      </c>
      <c r="I399" s="18" t="str">
        <f t="shared" si="31"/>
        <v>Clean</v>
      </c>
      <c r="J399" s="18" t="b">
        <v>0</v>
      </c>
      <c r="K399" s="18" t="str">
        <f t="shared" si="32"/>
        <v>Low</v>
      </c>
      <c r="L399" s="18">
        <v>0.38700000000000001</v>
      </c>
      <c r="M399" s="18" t="str">
        <f t="shared" si="33"/>
        <v>Medium Energy</v>
      </c>
      <c r="N399" s="18">
        <v>0.52600000000000002</v>
      </c>
      <c r="O399" s="18">
        <v>9</v>
      </c>
      <c r="P399" s="18">
        <v>-7.6109999999999998</v>
      </c>
      <c r="Q399" s="18">
        <v>0</v>
      </c>
      <c r="R399" s="18">
        <v>3.0099999999999998E-2</v>
      </c>
      <c r="S399" s="18">
        <v>0.24399999999999999</v>
      </c>
      <c r="T399" s="18">
        <v>3.86E-4</v>
      </c>
      <c r="U399" s="18">
        <v>0.105</v>
      </c>
      <c r="V399" s="18">
        <v>0.33400000000000002</v>
      </c>
      <c r="W399" s="18">
        <v>130.71899999999999</v>
      </c>
      <c r="X399" s="18">
        <v>4</v>
      </c>
      <c r="Y399" s="19" t="s">
        <v>4</v>
      </c>
    </row>
    <row r="400" spans="1:25" x14ac:dyDescent="0.3">
      <c r="A400" s="14" t="s">
        <v>1216</v>
      </c>
      <c r="B400" s="15" t="s">
        <v>749</v>
      </c>
      <c r="C400" s="15" t="s">
        <v>1217</v>
      </c>
      <c r="D400" s="15" t="s">
        <v>1218</v>
      </c>
      <c r="E400" s="15" t="str">
        <f t="shared" si="29"/>
        <v>Low</v>
      </c>
      <c r="F400" s="15">
        <v>32</v>
      </c>
      <c r="G400" s="30">
        <f t="shared" si="30"/>
        <v>22.757166666666667</v>
      </c>
      <c r="H400" s="15">
        <v>136543</v>
      </c>
      <c r="I400" s="15" t="str">
        <f t="shared" si="31"/>
        <v>Clean</v>
      </c>
      <c r="J400" s="15" t="b">
        <v>0</v>
      </c>
      <c r="K400" s="15" t="str">
        <f t="shared" si="32"/>
        <v>Moderate</v>
      </c>
      <c r="L400" s="15">
        <v>0.53900000000000003</v>
      </c>
      <c r="M400" s="15" t="str">
        <f t="shared" si="33"/>
        <v>Medium Energy</v>
      </c>
      <c r="N400" s="15">
        <v>0.67500000000000004</v>
      </c>
      <c r="O400" s="15">
        <v>2</v>
      </c>
      <c r="P400" s="15">
        <v>-6.9870000000000001</v>
      </c>
      <c r="Q400" s="15">
        <v>1</v>
      </c>
      <c r="R400" s="15">
        <v>7.0900000000000005E-2</v>
      </c>
      <c r="S400" s="15">
        <v>0.188</v>
      </c>
      <c r="T400" s="15">
        <v>0</v>
      </c>
      <c r="U400" s="15">
        <v>0.19800000000000001</v>
      </c>
      <c r="V400" s="15">
        <v>0.71899999999999997</v>
      </c>
      <c r="W400" s="15">
        <v>142.041</v>
      </c>
      <c r="X400" s="15">
        <v>4</v>
      </c>
      <c r="Y400" s="16" t="s">
        <v>4</v>
      </c>
    </row>
    <row r="401" spans="1:25" x14ac:dyDescent="0.3">
      <c r="A401" s="17" t="s">
        <v>1219</v>
      </c>
      <c r="B401" s="18" t="s">
        <v>749</v>
      </c>
      <c r="C401" s="18" t="s">
        <v>1217</v>
      </c>
      <c r="D401" s="18" t="s">
        <v>1220</v>
      </c>
      <c r="E401" s="18" t="str">
        <f t="shared" si="29"/>
        <v>Low</v>
      </c>
      <c r="F401" s="18">
        <v>32</v>
      </c>
      <c r="G401" s="30">
        <f t="shared" si="30"/>
        <v>37.284500000000001</v>
      </c>
      <c r="H401" s="18">
        <v>223707</v>
      </c>
      <c r="I401" s="18" t="str">
        <f t="shared" si="31"/>
        <v>Clean</v>
      </c>
      <c r="J401" s="18" t="b">
        <v>1</v>
      </c>
      <c r="K401" s="18" t="str">
        <f t="shared" si="32"/>
        <v>Moderate</v>
      </c>
      <c r="L401" s="18">
        <v>0.48699999999999999</v>
      </c>
      <c r="M401" s="18" t="str">
        <f t="shared" si="33"/>
        <v>High Energy</v>
      </c>
      <c r="N401" s="18">
        <v>0.83699999999999997</v>
      </c>
      <c r="O401" s="18">
        <v>0</v>
      </c>
      <c r="P401" s="18">
        <v>-5.8650000000000002</v>
      </c>
      <c r="Q401" s="18">
        <v>1</v>
      </c>
      <c r="R401" s="18">
        <v>6.2300000000000001E-2</v>
      </c>
      <c r="S401" s="18">
        <v>1.3299999999999999E-2</v>
      </c>
      <c r="T401" s="18">
        <v>0</v>
      </c>
      <c r="U401" s="18">
        <v>0.10199999999999999</v>
      </c>
      <c r="V401" s="18">
        <v>0.20699999999999999</v>
      </c>
      <c r="W401" s="18">
        <v>160.02500000000001</v>
      </c>
      <c r="X401" s="18">
        <v>4</v>
      </c>
      <c r="Y401" s="19" t="s">
        <v>4</v>
      </c>
    </row>
    <row r="402" spans="1:25" x14ac:dyDescent="0.3">
      <c r="A402" s="14" t="s">
        <v>1221</v>
      </c>
      <c r="B402" s="15" t="s">
        <v>1222</v>
      </c>
      <c r="C402" s="15" t="s">
        <v>1223</v>
      </c>
      <c r="D402" s="15" t="s">
        <v>1224</v>
      </c>
      <c r="E402" s="15" t="str">
        <f t="shared" si="29"/>
        <v>Average</v>
      </c>
      <c r="F402" s="15">
        <v>54</v>
      </c>
      <c r="G402" s="30">
        <f t="shared" si="30"/>
        <v>31.363499999999998</v>
      </c>
      <c r="H402" s="15">
        <v>188181</v>
      </c>
      <c r="I402" s="15" t="str">
        <f t="shared" si="31"/>
        <v>Clean</v>
      </c>
      <c r="J402" s="15" t="b">
        <v>0</v>
      </c>
      <c r="K402" s="15" t="str">
        <f t="shared" si="32"/>
        <v>Moderate</v>
      </c>
      <c r="L402" s="15">
        <v>0.52900000000000003</v>
      </c>
      <c r="M402" s="15" t="str">
        <f t="shared" si="33"/>
        <v>Low Energy</v>
      </c>
      <c r="N402" s="15">
        <v>0.24</v>
      </c>
      <c r="O402" s="15">
        <v>0</v>
      </c>
      <c r="P402" s="15">
        <v>-9.0660000000000007</v>
      </c>
      <c r="Q402" s="15">
        <v>1</v>
      </c>
      <c r="R402" s="15">
        <v>3.6999999999999998E-2</v>
      </c>
      <c r="S402" s="15">
        <v>0.93799999999999994</v>
      </c>
      <c r="T402" s="15">
        <v>0</v>
      </c>
      <c r="U402" s="15">
        <v>6.59E-2</v>
      </c>
      <c r="V402" s="15">
        <v>0.48699999999999999</v>
      </c>
      <c r="W402" s="15">
        <v>131.26599999999999</v>
      </c>
      <c r="X402" s="15">
        <v>4</v>
      </c>
      <c r="Y402" s="16" t="s">
        <v>4</v>
      </c>
    </row>
    <row r="403" spans="1:25" x14ac:dyDescent="0.3">
      <c r="A403" s="17" t="s">
        <v>1225</v>
      </c>
      <c r="B403" s="18" t="s">
        <v>1226</v>
      </c>
      <c r="C403" s="18" t="s">
        <v>1227</v>
      </c>
      <c r="D403" s="18" t="s">
        <v>1228</v>
      </c>
      <c r="E403" s="18" t="str">
        <f t="shared" si="29"/>
        <v>Average</v>
      </c>
      <c r="F403" s="18">
        <v>50</v>
      </c>
      <c r="G403" s="30">
        <f t="shared" si="30"/>
        <v>28.626666666666665</v>
      </c>
      <c r="H403" s="18">
        <v>171760</v>
      </c>
      <c r="I403" s="18" t="str">
        <f t="shared" si="31"/>
        <v>Clean</v>
      </c>
      <c r="J403" s="18" t="b">
        <v>0</v>
      </c>
      <c r="K403" s="18" t="str">
        <f t="shared" si="32"/>
        <v>Moderate</v>
      </c>
      <c r="L403" s="18">
        <v>0.66600000000000004</v>
      </c>
      <c r="M403" s="18" t="str">
        <f t="shared" si="33"/>
        <v>Low Energy</v>
      </c>
      <c r="N403" s="18">
        <v>0.28899999999999998</v>
      </c>
      <c r="O403" s="18">
        <v>7</v>
      </c>
      <c r="P403" s="18">
        <v>-12.404</v>
      </c>
      <c r="Q403" s="18">
        <v>1</v>
      </c>
      <c r="R403" s="18">
        <v>3.1699999999999999E-2</v>
      </c>
      <c r="S403" s="18">
        <v>0.64100000000000001</v>
      </c>
      <c r="T403" s="21" t="s">
        <v>1229</v>
      </c>
      <c r="U403" s="18">
        <v>0.109</v>
      </c>
      <c r="V403" s="18">
        <v>0.41499999999999998</v>
      </c>
      <c r="W403" s="18">
        <v>109.965</v>
      </c>
      <c r="X403" s="18">
        <v>4</v>
      </c>
      <c r="Y403" s="19" t="s">
        <v>4</v>
      </c>
    </row>
    <row r="404" spans="1:25" x14ac:dyDescent="0.3">
      <c r="A404" s="14" t="s">
        <v>1230</v>
      </c>
      <c r="B404" s="15" t="s">
        <v>1073</v>
      </c>
      <c r="C404" s="15" t="s">
        <v>1231</v>
      </c>
      <c r="D404" s="15" t="s">
        <v>1231</v>
      </c>
      <c r="E404" s="15" t="str">
        <f t="shared" si="29"/>
        <v>Average</v>
      </c>
      <c r="F404" s="15">
        <v>58</v>
      </c>
      <c r="G404" s="30">
        <f t="shared" si="30"/>
        <v>51.040500000000002</v>
      </c>
      <c r="H404" s="15">
        <v>306243</v>
      </c>
      <c r="I404" s="15" t="str">
        <f t="shared" si="31"/>
        <v>Clean</v>
      </c>
      <c r="J404" s="15" t="b">
        <v>0</v>
      </c>
      <c r="K404" s="15" t="str">
        <f t="shared" si="32"/>
        <v>Moderate</v>
      </c>
      <c r="L404" s="15">
        <v>0.45100000000000001</v>
      </c>
      <c r="M404" s="15" t="str">
        <f t="shared" si="33"/>
        <v>Low Energy</v>
      </c>
      <c r="N404" s="15">
        <v>3.1800000000000002E-2</v>
      </c>
      <c r="O404" s="15">
        <v>0</v>
      </c>
      <c r="P404" s="15">
        <v>-19.933</v>
      </c>
      <c r="Q404" s="15">
        <v>0</v>
      </c>
      <c r="R404" s="15">
        <v>4.2099999999999999E-2</v>
      </c>
      <c r="S404" s="15">
        <v>0.98299999999999998</v>
      </c>
      <c r="T404" s="15">
        <v>5.3199999999999997E-2</v>
      </c>
      <c r="U404" s="15">
        <v>9.8900000000000002E-2</v>
      </c>
      <c r="V404" s="15">
        <v>0.14799999999999999</v>
      </c>
      <c r="W404" s="15">
        <v>123.985</v>
      </c>
      <c r="X404" s="15">
        <v>4</v>
      </c>
      <c r="Y404" s="16" t="s">
        <v>4</v>
      </c>
    </row>
    <row r="405" spans="1:25" x14ac:dyDescent="0.3">
      <c r="A405" s="17" t="s">
        <v>1232</v>
      </c>
      <c r="B405" s="18" t="s">
        <v>617</v>
      </c>
      <c r="C405" s="18" t="s">
        <v>1233</v>
      </c>
      <c r="D405" s="18" t="s">
        <v>1234</v>
      </c>
      <c r="E405" s="18" t="str">
        <f t="shared" si="29"/>
        <v>Average</v>
      </c>
      <c r="F405" s="18">
        <v>49</v>
      </c>
      <c r="G405" s="30">
        <f t="shared" si="30"/>
        <v>32.064833333333333</v>
      </c>
      <c r="H405" s="18">
        <v>192389</v>
      </c>
      <c r="I405" s="18" t="str">
        <f t="shared" si="31"/>
        <v>Clean</v>
      </c>
      <c r="J405" s="18" t="b">
        <v>0</v>
      </c>
      <c r="K405" s="18" t="str">
        <f t="shared" si="32"/>
        <v>Low</v>
      </c>
      <c r="L405" s="18">
        <v>0.35899999999999999</v>
      </c>
      <c r="M405" s="18" t="str">
        <f t="shared" si="33"/>
        <v>Low Energy</v>
      </c>
      <c r="N405" s="18">
        <v>0.20799999999999999</v>
      </c>
      <c r="O405" s="18">
        <v>7</v>
      </c>
      <c r="P405" s="18">
        <v>-10.567</v>
      </c>
      <c r="Q405" s="18">
        <v>1</v>
      </c>
      <c r="R405" s="18">
        <v>3.5999999999999997E-2</v>
      </c>
      <c r="S405" s="18">
        <v>0.94299999999999995</v>
      </c>
      <c r="T405" s="18">
        <v>0</v>
      </c>
      <c r="U405" s="18">
        <v>9.3100000000000002E-2</v>
      </c>
      <c r="V405" s="18">
        <v>0.105</v>
      </c>
      <c r="W405" s="18">
        <v>83.155000000000001</v>
      </c>
      <c r="X405" s="18">
        <v>3</v>
      </c>
      <c r="Y405" s="19" t="s">
        <v>4</v>
      </c>
    </row>
    <row r="406" spans="1:25" x14ac:dyDescent="0.3">
      <c r="A406" s="14" t="s">
        <v>1235</v>
      </c>
      <c r="B406" s="15" t="s">
        <v>316</v>
      </c>
      <c r="C406" s="15" t="s">
        <v>77</v>
      </c>
      <c r="D406" s="15" t="s">
        <v>1236</v>
      </c>
      <c r="E406" s="15" t="str">
        <f t="shared" si="29"/>
        <v>Average</v>
      </c>
      <c r="F406" s="15">
        <v>52</v>
      </c>
      <c r="G406" s="30">
        <f t="shared" si="30"/>
        <v>36.411999999999999</v>
      </c>
      <c r="H406" s="15">
        <v>218472</v>
      </c>
      <c r="I406" s="15" t="str">
        <f t="shared" si="31"/>
        <v>Clean</v>
      </c>
      <c r="J406" s="15" t="b">
        <v>0</v>
      </c>
      <c r="K406" s="15" t="str">
        <f t="shared" si="32"/>
        <v>Moderate</v>
      </c>
      <c r="L406" s="15">
        <v>0.40300000000000002</v>
      </c>
      <c r="M406" s="15" t="str">
        <f t="shared" si="33"/>
        <v>Low Energy</v>
      </c>
      <c r="N406" s="15">
        <v>0.23699999999999999</v>
      </c>
      <c r="O406" s="15">
        <v>7</v>
      </c>
      <c r="P406" s="15">
        <v>-10.000999999999999</v>
      </c>
      <c r="Q406" s="15">
        <v>1</v>
      </c>
      <c r="R406" s="15">
        <v>3.9100000000000003E-2</v>
      </c>
      <c r="S406" s="15">
        <v>0.90600000000000003</v>
      </c>
      <c r="T406" s="15">
        <v>0</v>
      </c>
      <c r="U406" s="15">
        <v>0.111</v>
      </c>
      <c r="V406" s="15">
        <v>0.16300000000000001</v>
      </c>
      <c r="W406" s="15">
        <v>144.17400000000001</v>
      </c>
      <c r="X406" s="15">
        <v>4</v>
      </c>
      <c r="Y406" s="16" t="s">
        <v>4</v>
      </c>
    </row>
    <row r="407" spans="1:25" x14ac:dyDescent="0.3">
      <c r="A407" s="17" t="s">
        <v>1237</v>
      </c>
      <c r="B407" s="18" t="s">
        <v>1101</v>
      </c>
      <c r="C407" s="18" t="s">
        <v>1238</v>
      </c>
      <c r="D407" s="18" t="s">
        <v>1239</v>
      </c>
      <c r="E407" s="18" t="str">
        <f t="shared" si="29"/>
        <v>Average</v>
      </c>
      <c r="F407" s="18">
        <v>49</v>
      </c>
      <c r="G407" s="30">
        <f t="shared" si="30"/>
        <v>29.636333333333333</v>
      </c>
      <c r="H407" s="18">
        <v>177818</v>
      </c>
      <c r="I407" s="18" t="str">
        <f t="shared" si="31"/>
        <v>Clean</v>
      </c>
      <c r="J407" s="18" t="b">
        <v>0</v>
      </c>
      <c r="K407" s="18" t="str">
        <f t="shared" si="32"/>
        <v>Moderate</v>
      </c>
      <c r="L407" s="18">
        <v>0.69299999999999995</v>
      </c>
      <c r="M407" s="18" t="str">
        <f t="shared" si="33"/>
        <v>Low Energy</v>
      </c>
      <c r="N407" s="18">
        <v>0.111</v>
      </c>
      <c r="O407" s="18">
        <v>0</v>
      </c>
      <c r="P407" s="18">
        <v>-12.356</v>
      </c>
      <c r="Q407" s="18">
        <v>1</v>
      </c>
      <c r="R407" s="18">
        <v>3.7900000000000003E-2</v>
      </c>
      <c r="S407" s="18">
        <v>0.93700000000000006</v>
      </c>
      <c r="T407" s="21" t="s">
        <v>1240</v>
      </c>
      <c r="U407" s="18">
        <v>8.5800000000000001E-2</v>
      </c>
      <c r="V407" s="18">
        <v>0.247</v>
      </c>
      <c r="W407" s="18">
        <v>110.813</v>
      </c>
      <c r="X407" s="18">
        <v>4</v>
      </c>
      <c r="Y407" s="19" t="s">
        <v>4</v>
      </c>
    </row>
    <row r="408" spans="1:25" x14ac:dyDescent="0.3">
      <c r="A408" s="14" t="s">
        <v>1241</v>
      </c>
      <c r="B408" s="15" t="s">
        <v>1</v>
      </c>
      <c r="C408" s="15" t="s">
        <v>1242</v>
      </c>
      <c r="D408" s="15" t="s">
        <v>1243</v>
      </c>
      <c r="E408" s="15" t="str">
        <f t="shared" si="29"/>
        <v>Average</v>
      </c>
      <c r="F408" s="15">
        <v>53</v>
      </c>
      <c r="G408" s="30">
        <f t="shared" si="30"/>
        <v>41.87766666666667</v>
      </c>
      <c r="H408" s="15">
        <v>251266</v>
      </c>
      <c r="I408" s="15" t="str">
        <f t="shared" si="31"/>
        <v>Clean</v>
      </c>
      <c r="J408" s="15" t="b">
        <v>0</v>
      </c>
      <c r="K408" s="15" t="str">
        <f t="shared" si="32"/>
        <v>Moderate</v>
      </c>
      <c r="L408" s="15">
        <v>0.59799999999999998</v>
      </c>
      <c r="M408" s="15" t="str">
        <f t="shared" si="33"/>
        <v>High Energy</v>
      </c>
      <c r="N408" s="15">
        <v>0.81899999999999995</v>
      </c>
      <c r="O408" s="15">
        <v>9</v>
      </c>
      <c r="P408" s="15">
        <v>-2.6190000000000002</v>
      </c>
      <c r="Q408" s="15">
        <v>1</v>
      </c>
      <c r="R408" s="15">
        <v>9.11E-2</v>
      </c>
      <c r="S408" s="15">
        <v>8.0999999999999996E-4</v>
      </c>
      <c r="T408" s="15">
        <v>0</v>
      </c>
      <c r="U408" s="15">
        <v>0.218</v>
      </c>
      <c r="V408" s="15">
        <v>0.878</v>
      </c>
      <c r="W408" s="15">
        <v>158.11500000000001</v>
      </c>
      <c r="X408" s="15">
        <v>4</v>
      </c>
      <c r="Y408" s="16" t="s">
        <v>4</v>
      </c>
    </row>
    <row r="409" spans="1:25" x14ac:dyDescent="0.3">
      <c r="A409" s="17" t="s">
        <v>1244</v>
      </c>
      <c r="B409" s="18" t="s">
        <v>1245</v>
      </c>
      <c r="C409" s="18" t="s">
        <v>1246</v>
      </c>
      <c r="D409" s="18" t="s">
        <v>1247</v>
      </c>
      <c r="E409" s="18" t="str">
        <f t="shared" si="29"/>
        <v>Average</v>
      </c>
      <c r="F409" s="18">
        <v>54</v>
      </c>
      <c r="G409" s="30">
        <f t="shared" si="30"/>
        <v>39.9</v>
      </c>
      <c r="H409" s="18">
        <v>239400</v>
      </c>
      <c r="I409" s="18" t="str">
        <f t="shared" si="31"/>
        <v>Clean</v>
      </c>
      <c r="J409" s="18" t="b">
        <v>0</v>
      </c>
      <c r="K409" s="18" t="str">
        <f t="shared" si="32"/>
        <v>Moderate</v>
      </c>
      <c r="L409" s="18">
        <v>0.59599999999999997</v>
      </c>
      <c r="M409" s="18" t="str">
        <f t="shared" si="33"/>
        <v>Low Energy</v>
      </c>
      <c r="N409" s="18">
        <v>0.27</v>
      </c>
      <c r="O409" s="18">
        <v>2</v>
      </c>
      <c r="P409" s="18">
        <v>-11.486000000000001</v>
      </c>
      <c r="Q409" s="18">
        <v>1</v>
      </c>
      <c r="R409" s="18">
        <v>2.6499999999999999E-2</v>
      </c>
      <c r="S409" s="18">
        <v>0.78500000000000003</v>
      </c>
      <c r="T409" s="18">
        <v>0.13400000000000001</v>
      </c>
      <c r="U409" s="18">
        <v>6.4699999999999994E-2</v>
      </c>
      <c r="V409" s="18">
        <v>0.155</v>
      </c>
      <c r="W409" s="18">
        <v>100.006</v>
      </c>
      <c r="X409" s="18">
        <v>4</v>
      </c>
      <c r="Y409" s="19" t="s">
        <v>4</v>
      </c>
    </row>
    <row r="410" spans="1:25" x14ac:dyDescent="0.3">
      <c r="A410" s="14" t="s">
        <v>1248</v>
      </c>
      <c r="B410" s="15" t="s">
        <v>1249</v>
      </c>
      <c r="C410" s="15" t="s">
        <v>1250</v>
      </c>
      <c r="D410" s="15" t="s">
        <v>1250</v>
      </c>
      <c r="E410" s="15" t="str">
        <f t="shared" si="29"/>
        <v>Average</v>
      </c>
      <c r="F410" s="15">
        <v>50</v>
      </c>
      <c r="G410" s="30">
        <f t="shared" si="30"/>
        <v>40.235500000000002</v>
      </c>
      <c r="H410" s="15">
        <v>241413</v>
      </c>
      <c r="I410" s="15" t="str">
        <f t="shared" si="31"/>
        <v>Clean</v>
      </c>
      <c r="J410" s="15" t="b">
        <v>0</v>
      </c>
      <c r="K410" s="15" t="str">
        <f t="shared" si="32"/>
        <v>Moderate</v>
      </c>
      <c r="L410" s="15">
        <v>0.58899999999999997</v>
      </c>
      <c r="M410" s="15" t="str">
        <f t="shared" si="33"/>
        <v>Low Energy</v>
      </c>
      <c r="N410" s="15">
        <v>0.33400000000000002</v>
      </c>
      <c r="O410" s="15">
        <v>7</v>
      </c>
      <c r="P410" s="15">
        <v>-10.08</v>
      </c>
      <c r="Q410" s="15">
        <v>1</v>
      </c>
      <c r="R410" s="15">
        <v>2.9000000000000001E-2</v>
      </c>
      <c r="S410" s="15">
        <v>0.83199999999999996</v>
      </c>
      <c r="T410" s="15">
        <v>0</v>
      </c>
      <c r="U410" s="15">
        <v>0.13300000000000001</v>
      </c>
      <c r="V410" s="15">
        <v>0.20799999999999999</v>
      </c>
      <c r="W410" s="15">
        <v>80.036000000000001</v>
      </c>
      <c r="X410" s="15">
        <v>4</v>
      </c>
      <c r="Y410" s="16" t="s">
        <v>4</v>
      </c>
    </row>
    <row r="411" spans="1:25" x14ac:dyDescent="0.3">
      <c r="A411" s="17" t="s">
        <v>1251</v>
      </c>
      <c r="B411" s="18" t="s">
        <v>319</v>
      </c>
      <c r="C411" s="18" t="s">
        <v>1252</v>
      </c>
      <c r="D411" s="18" t="s">
        <v>1252</v>
      </c>
      <c r="E411" s="18" t="str">
        <f t="shared" si="29"/>
        <v>Average</v>
      </c>
      <c r="F411" s="18">
        <v>57</v>
      </c>
      <c r="G411" s="30">
        <f t="shared" si="30"/>
        <v>36.133333333333333</v>
      </c>
      <c r="H411" s="18">
        <v>216800</v>
      </c>
      <c r="I411" s="18" t="str">
        <f t="shared" si="31"/>
        <v>Clean</v>
      </c>
      <c r="J411" s="18" t="b">
        <v>0</v>
      </c>
      <c r="K411" s="18" t="str">
        <f t="shared" si="32"/>
        <v>Very Danceable</v>
      </c>
      <c r="L411" s="18">
        <v>0.73499999999999999</v>
      </c>
      <c r="M411" s="18" t="str">
        <f t="shared" si="33"/>
        <v>Low Energy</v>
      </c>
      <c r="N411" s="18">
        <v>0.27500000000000002</v>
      </c>
      <c r="O411" s="18">
        <v>8</v>
      </c>
      <c r="P411" s="18">
        <v>-8.9939999999999998</v>
      </c>
      <c r="Q411" s="18">
        <v>0</v>
      </c>
      <c r="R411" s="18">
        <v>3.04E-2</v>
      </c>
      <c r="S411" s="18">
        <v>0.746</v>
      </c>
      <c r="T411" s="18">
        <v>0</v>
      </c>
      <c r="U411" s="18">
        <v>0.13100000000000001</v>
      </c>
      <c r="V411" s="18">
        <v>0.29399999999999998</v>
      </c>
      <c r="W411" s="18">
        <v>116.004</v>
      </c>
      <c r="X411" s="18">
        <v>4</v>
      </c>
      <c r="Y411" s="19" t="s">
        <v>4</v>
      </c>
    </row>
    <row r="412" spans="1:25" x14ac:dyDescent="0.3">
      <c r="A412" s="14" t="s">
        <v>1253</v>
      </c>
      <c r="B412" s="15" t="s">
        <v>1254</v>
      </c>
      <c r="C412" s="15" t="s">
        <v>1255</v>
      </c>
      <c r="D412" s="15" t="s">
        <v>1256</v>
      </c>
      <c r="E412" s="15" t="str">
        <f t="shared" si="29"/>
        <v>Average</v>
      </c>
      <c r="F412" s="15">
        <v>53</v>
      </c>
      <c r="G412" s="30">
        <f t="shared" si="30"/>
        <v>26.884333333333334</v>
      </c>
      <c r="H412" s="15">
        <v>161306</v>
      </c>
      <c r="I412" s="15" t="str">
        <f t="shared" si="31"/>
        <v>Clean</v>
      </c>
      <c r="J412" s="15" t="b">
        <v>0</v>
      </c>
      <c r="K412" s="15" t="str">
        <f t="shared" si="32"/>
        <v>Moderate</v>
      </c>
      <c r="L412" s="15">
        <v>0.60499999999999998</v>
      </c>
      <c r="M412" s="15" t="str">
        <f t="shared" si="33"/>
        <v>Low Energy</v>
      </c>
      <c r="N412" s="15">
        <v>0.16800000000000001</v>
      </c>
      <c r="O412" s="15">
        <v>2</v>
      </c>
      <c r="P412" s="15">
        <v>-11.388</v>
      </c>
      <c r="Q412" s="15">
        <v>1</v>
      </c>
      <c r="R412" s="15">
        <v>4.9599999999999998E-2</v>
      </c>
      <c r="S412" s="15">
        <v>0.88700000000000001</v>
      </c>
      <c r="T412" s="15">
        <v>0</v>
      </c>
      <c r="U412" s="15">
        <v>0.12</v>
      </c>
      <c r="V412" s="15">
        <v>0.39800000000000002</v>
      </c>
      <c r="W412" s="15">
        <v>119.836</v>
      </c>
      <c r="X412" s="15">
        <v>4</v>
      </c>
      <c r="Y412" s="16" t="s">
        <v>4</v>
      </c>
    </row>
    <row r="413" spans="1:25" x14ac:dyDescent="0.3">
      <c r="A413" s="17" t="s">
        <v>1257</v>
      </c>
      <c r="B413" s="18" t="s">
        <v>14</v>
      </c>
      <c r="C413" s="18" t="s">
        <v>1258</v>
      </c>
      <c r="D413" s="18" t="s">
        <v>1258</v>
      </c>
      <c r="E413" s="18" t="str">
        <f t="shared" si="29"/>
        <v>Average</v>
      </c>
      <c r="F413" s="18">
        <v>57</v>
      </c>
      <c r="G413" s="30">
        <f t="shared" si="30"/>
        <v>25.517499999999998</v>
      </c>
      <c r="H413" s="18">
        <v>153105</v>
      </c>
      <c r="I413" s="18" t="str">
        <f t="shared" si="31"/>
        <v>Clean</v>
      </c>
      <c r="J413" s="18" t="b">
        <v>0</v>
      </c>
      <c r="K413" s="18" t="str">
        <f t="shared" si="32"/>
        <v>Moderate</v>
      </c>
      <c r="L413" s="18">
        <v>0.61199999999999999</v>
      </c>
      <c r="M413" s="18" t="str">
        <f t="shared" si="33"/>
        <v>Low Energy</v>
      </c>
      <c r="N413" s="18">
        <v>0.107</v>
      </c>
      <c r="O413" s="18">
        <v>0</v>
      </c>
      <c r="P413" s="18">
        <v>-15.867000000000001</v>
      </c>
      <c r="Q413" s="18">
        <v>1</v>
      </c>
      <c r="R413" s="18">
        <v>3.0200000000000001E-2</v>
      </c>
      <c r="S413" s="18">
        <v>0.93600000000000005</v>
      </c>
      <c r="T413" s="18">
        <v>0</v>
      </c>
      <c r="U413" s="18">
        <v>0.109</v>
      </c>
      <c r="V413" s="18">
        <v>0.63700000000000001</v>
      </c>
      <c r="W413" s="18">
        <v>78.393000000000001</v>
      </c>
      <c r="X413" s="18">
        <v>4</v>
      </c>
      <c r="Y413" s="19" t="s">
        <v>4</v>
      </c>
    </row>
    <row r="414" spans="1:25" x14ac:dyDescent="0.3">
      <c r="A414" s="14" t="s">
        <v>1259</v>
      </c>
      <c r="B414" s="15" t="s">
        <v>319</v>
      </c>
      <c r="C414" s="15" t="s">
        <v>72</v>
      </c>
      <c r="D414" s="15" t="s">
        <v>595</v>
      </c>
      <c r="E414" s="15" t="str">
        <f t="shared" si="29"/>
        <v>Average</v>
      </c>
      <c r="F414" s="15">
        <v>49</v>
      </c>
      <c r="G414" s="30">
        <f t="shared" si="30"/>
        <v>33.694499999999998</v>
      </c>
      <c r="H414" s="15">
        <v>202167</v>
      </c>
      <c r="I414" s="15" t="str">
        <f t="shared" si="31"/>
        <v>Clean</v>
      </c>
      <c r="J414" s="15" t="b">
        <v>0</v>
      </c>
      <c r="K414" s="15" t="str">
        <f t="shared" si="32"/>
        <v>Moderate</v>
      </c>
      <c r="L414" s="15">
        <v>0.56799999999999995</v>
      </c>
      <c r="M414" s="15" t="str">
        <f t="shared" si="33"/>
        <v>Low Energy</v>
      </c>
      <c r="N414" s="15">
        <v>0.17699999999999999</v>
      </c>
      <c r="O414" s="15">
        <v>2</v>
      </c>
      <c r="P414" s="15">
        <v>-11.276999999999999</v>
      </c>
      <c r="Q414" s="15">
        <v>1</v>
      </c>
      <c r="R414" s="15">
        <v>3.7400000000000003E-2</v>
      </c>
      <c r="S414" s="15">
        <v>0.93</v>
      </c>
      <c r="T414" s="15">
        <v>0</v>
      </c>
      <c r="U414" s="15">
        <v>9.0499999999999997E-2</v>
      </c>
      <c r="V414" s="15">
        <v>0.35399999999999998</v>
      </c>
      <c r="W414" s="15">
        <v>103.822</v>
      </c>
      <c r="X414" s="15">
        <v>4</v>
      </c>
      <c r="Y414" s="16" t="s">
        <v>4</v>
      </c>
    </row>
    <row r="415" spans="1:25" x14ac:dyDescent="0.3">
      <c r="A415" s="17" t="s">
        <v>1260</v>
      </c>
      <c r="B415" s="18" t="s">
        <v>332</v>
      </c>
      <c r="C415" s="18" t="s">
        <v>1261</v>
      </c>
      <c r="D415" s="18" t="s">
        <v>1262</v>
      </c>
      <c r="E415" s="18" t="str">
        <f t="shared" si="29"/>
        <v>Average</v>
      </c>
      <c r="F415" s="18">
        <v>52</v>
      </c>
      <c r="G415" s="30">
        <f t="shared" si="30"/>
        <v>28.904333333333334</v>
      </c>
      <c r="H415" s="18">
        <v>173426</v>
      </c>
      <c r="I415" s="18" t="str">
        <f t="shared" si="31"/>
        <v>Clean</v>
      </c>
      <c r="J415" s="18" t="b">
        <v>0</v>
      </c>
      <c r="K415" s="18" t="str">
        <f t="shared" si="32"/>
        <v>Moderate</v>
      </c>
      <c r="L415" s="18">
        <v>0.45100000000000001</v>
      </c>
      <c r="M415" s="18" t="str">
        <f t="shared" si="33"/>
        <v>Low Energy</v>
      </c>
      <c r="N415" s="18">
        <v>6.6500000000000004E-2</v>
      </c>
      <c r="O415" s="18">
        <v>0</v>
      </c>
      <c r="P415" s="18">
        <v>-13.862</v>
      </c>
      <c r="Q415" s="18">
        <v>0</v>
      </c>
      <c r="R415" s="18">
        <v>5.16E-2</v>
      </c>
      <c r="S415" s="18">
        <v>0.96699999999999997</v>
      </c>
      <c r="T415" s="21" t="s">
        <v>1263</v>
      </c>
      <c r="U415" s="18">
        <v>0.109</v>
      </c>
      <c r="V415" s="18">
        <v>0.34899999999999998</v>
      </c>
      <c r="W415" s="18">
        <v>64.289000000000001</v>
      </c>
      <c r="X415" s="18">
        <v>4</v>
      </c>
      <c r="Y415" s="19" t="s">
        <v>4</v>
      </c>
    </row>
    <row r="416" spans="1:25" x14ac:dyDescent="0.3">
      <c r="A416" s="14" t="s">
        <v>1264</v>
      </c>
      <c r="B416" s="15" t="s">
        <v>1101</v>
      </c>
      <c r="C416" s="15" t="s">
        <v>1265</v>
      </c>
      <c r="D416" s="15" t="s">
        <v>1266</v>
      </c>
      <c r="E416" s="15" t="str">
        <f t="shared" si="29"/>
        <v>Average</v>
      </c>
      <c r="F416" s="15">
        <v>51</v>
      </c>
      <c r="G416" s="30">
        <f t="shared" si="30"/>
        <v>24.107333333333333</v>
      </c>
      <c r="H416" s="15">
        <v>144644</v>
      </c>
      <c r="I416" s="15" t="str">
        <f t="shared" si="31"/>
        <v>Clean</v>
      </c>
      <c r="J416" s="15" t="b">
        <v>0</v>
      </c>
      <c r="K416" s="15" t="str">
        <f t="shared" si="32"/>
        <v>Moderate</v>
      </c>
      <c r="L416" s="15">
        <v>0.59499999999999997</v>
      </c>
      <c r="M416" s="15" t="str">
        <f t="shared" si="33"/>
        <v>Low Energy</v>
      </c>
      <c r="N416" s="15">
        <v>4.7699999999999999E-2</v>
      </c>
      <c r="O416" s="15">
        <v>11</v>
      </c>
      <c r="P416" s="15">
        <v>-14.672000000000001</v>
      </c>
      <c r="Q416" s="15">
        <v>1</v>
      </c>
      <c r="R416" s="15">
        <v>6.6199999999999995E-2</v>
      </c>
      <c r="S416" s="15">
        <v>0.92300000000000004</v>
      </c>
      <c r="T416" s="15">
        <v>0</v>
      </c>
      <c r="U416" s="15">
        <v>9.0899999999999995E-2</v>
      </c>
      <c r="V416" s="15">
        <v>0.51300000000000001</v>
      </c>
      <c r="W416" s="15">
        <v>118.16200000000001</v>
      </c>
      <c r="X416" s="15">
        <v>3</v>
      </c>
      <c r="Y416" s="16" t="s">
        <v>4</v>
      </c>
    </row>
    <row r="417" spans="1:25" x14ac:dyDescent="0.3">
      <c r="A417" s="17" t="s">
        <v>1267</v>
      </c>
      <c r="B417" s="18" t="s">
        <v>205</v>
      </c>
      <c r="C417" s="18" t="s">
        <v>1268</v>
      </c>
      <c r="D417" s="18" t="s">
        <v>1268</v>
      </c>
      <c r="E417" s="18" t="str">
        <f t="shared" si="29"/>
        <v>Average</v>
      </c>
      <c r="F417" s="18">
        <v>46</v>
      </c>
      <c r="G417" s="30">
        <f t="shared" si="30"/>
        <v>35.46</v>
      </c>
      <c r="H417" s="18">
        <v>212760</v>
      </c>
      <c r="I417" s="18" t="str">
        <f t="shared" si="31"/>
        <v>Clean</v>
      </c>
      <c r="J417" s="18" t="b">
        <v>0</v>
      </c>
      <c r="K417" s="18" t="str">
        <f t="shared" si="32"/>
        <v>Low</v>
      </c>
      <c r="L417" s="18">
        <v>0.307</v>
      </c>
      <c r="M417" s="18" t="str">
        <f t="shared" si="33"/>
        <v>Low Energy</v>
      </c>
      <c r="N417" s="18">
        <v>0.11</v>
      </c>
      <c r="O417" s="18">
        <v>1</v>
      </c>
      <c r="P417" s="18">
        <v>-15.253</v>
      </c>
      <c r="Q417" s="18">
        <v>1</v>
      </c>
      <c r="R417" s="18">
        <v>3.8800000000000001E-2</v>
      </c>
      <c r="S417" s="18">
        <v>0.73299999999999998</v>
      </c>
      <c r="T417" s="21" t="s">
        <v>1269</v>
      </c>
      <c r="U417" s="18">
        <v>0.111</v>
      </c>
      <c r="V417" s="18">
        <v>0.32</v>
      </c>
      <c r="W417" s="18">
        <v>201.00800000000001</v>
      </c>
      <c r="X417" s="18">
        <v>3</v>
      </c>
      <c r="Y417" s="19" t="s">
        <v>4</v>
      </c>
    </row>
    <row r="418" spans="1:25" x14ac:dyDescent="0.3">
      <c r="A418" s="14" t="s">
        <v>1270</v>
      </c>
      <c r="B418" s="15" t="s">
        <v>19</v>
      </c>
      <c r="C418" s="15" t="s">
        <v>1271</v>
      </c>
      <c r="D418" s="15" t="s">
        <v>1271</v>
      </c>
      <c r="E418" s="15" t="str">
        <f t="shared" si="29"/>
        <v>Average</v>
      </c>
      <c r="F418" s="15">
        <v>41</v>
      </c>
      <c r="G418" s="30">
        <f t="shared" si="30"/>
        <v>40.292999999999999</v>
      </c>
      <c r="H418" s="15">
        <v>241758</v>
      </c>
      <c r="I418" s="15" t="str">
        <f t="shared" si="31"/>
        <v>Clean</v>
      </c>
      <c r="J418" s="15" t="b">
        <v>0</v>
      </c>
      <c r="K418" s="15" t="str">
        <f t="shared" si="32"/>
        <v>Low</v>
      </c>
      <c r="L418" s="15">
        <v>0.3</v>
      </c>
      <c r="M418" s="15" t="str">
        <f t="shared" si="33"/>
        <v>Low Energy</v>
      </c>
      <c r="N418" s="15">
        <v>0.27</v>
      </c>
      <c r="O418" s="15">
        <v>8</v>
      </c>
      <c r="P418" s="15">
        <v>-14.397</v>
      </c>
      <c r="Q418" s="15">
        <v>0</v>
      </c>
      <c r="R418" s="15">
        <v>3.7100000000000001E-2</v>
      </c>
      <c r="S418" s="15">
        <v>0.9</v>
      </c>
      <c r="T418" s="20" t="s">
        <v>1272</v>
      </c>
      <c r="U418" s="15">
        <v>0.1</v>
      </c>
      <c r="V418" s="15">
        <v>0.214</v>
      </c>
      <c r="W418" s="15">
        <v>144.589</v>
      </c>
      <c r="X418" s="15">
        <v>4</v>
      </c>
      <c r="Y418" s="16" t="s">
        <v>4</v>
      </c>
    </row>
    <row r="419" spans="1:25" x14ac:dyDescent="0.3">
      <c r="A419" s="17" t="s">
        <v>1273</v>
      </c>
      <c r="B419" s="18" t="s">
        <v>1274</v>
      </c>
      <c r="C419" s="18" t="s">
        <v>1275</v>
      </c>
      <c r="D419" s="18" t="s">
        <v>1275</v>
      </c>
      <c r="E419" s="18" t="str">
        <f t="shared" si="29"/>
        <v>Average</v>
      </c>
      <c r="F419" s="18">
        <v>57</v>
      </c>
      <c r="G419" s="30">
        <f t="shared" si="30"/>
        <v>28.266666666666666</v>
      </c>
      <c r="H419" s="18">
        <v>169600</v>
      </c>
      <c r="I419" s="18" t="str">
        <f t="shared" si="31"/>
        <v>Clean</v>
      </c>
      <c r="J419" s="18" t="b">
        <v>0</v>
      </c>
      <c r="K419" s="18" t="str">
        <f t="shared" si="32"/>
        <v>Very Danceable</v>
      </c>
      <c r="L419" s="18">
        <v>0.73099999999999998</v>
      </c>
      <c r="M419" s="18" t="str">
        <f t="shared" si="33"/>
        <v>Low Energy</v>
      </c>
      <c r="N419" s="18">
        <v>0.191</v>
      </c>
      <c r="O419" s="18">
        <v>0</v>
      </c>
      <c r="P419" s="18">
        <v>-11.359</v>
      </c>
      <c r="Q419" s="18">
        <v>1</v>
      </c>
      <c r="R419" s="18">
        <v>0.122</v>
      </c>
      <c r="S419" s="18">
        <v>0.73499999999999999</v>
      </c>
      <c r="T419" s="18">
        <v>0.67100000000000004</v>
      </c>
      <c r="U419" s="18">
        <v>0.13100000000000001</v>
      </c>
      <c r="V419" s="18">
        <v>0.27400000000000002</v>
      </c>
      <c r="W419" s="18">
        <v>149.91</v>
      </c>
      <c r="X419" s="18">
        <v>4</v>
      </c>
      <c r="Y419" s="19" t="s">
        <v>4</v>
      </c>
    </row>
    <row r="420" spans="1:25" x14ac:dyDescent="0.3">
      <c r="A420" s="14" t="s">
        <v>1276</v>
      </c>
      <c r="B420" s="15" t="s">
        <v>1277</v>
      </c>
      <c r="C420" s="15" t="s">
        <v>1278</v>
      </c>
      <c r="D420" s="15" t="s">
        <v>868</v>
      </c>
      <c r="E420" s="15" t="str">
        <f t="shared" si="29"/>
        <v>Average</v>
      </c>
      <c r="F420" s="15">
        <v>50</v>
      </c>
      <c r="G420" s="30">
        <f t="shared" si="30"/>
        <v>51.104333333333336</v>
      </c>
      <c r="H420" s="15">
        <v>306626</v>
      </c>
      <c r="I420" s="15" t="str">
        <f t="shared" si="31"/>
        <v>Clean</v>
      </c>
      <c r="J420" s="15" t="b">
        <v>0</v>
      </c>
      <c r="K420" s="15" t="str">
        <f t="shared" si="32"/>
        <v>Moderate</v>
      </c>
      <c r="L420" s="15">
        <v>0.54500000000000004</v>
      </c>
      <c r="M420" s="15" t="str">
        <f t="shared" si="33"/>
        <v>High Energy</v>
      </c>
      <c r="N420" s="15">
        <v>0.745</v>
      </c>
      <c r="O420" s="15">
        <v>2</v>
      </c>
      <c r="P420" s="15">
        <v>-3.0979999999999999</v>
      </c>
      <c r="Q420" s="15">
        <v>1</v>
      </c>
      <c r="R420" s="15">
        <v>2.86E-2</v>
      </c>
      <c r="S420" s="15">
        <v>4.5199999999999997E-2</v>
      </c>
      <c r="T420" s="15">
        <v>0</v>
      </c>
      <c r="U420" s="15">
        <v>9.0700000000000003E-2</v>
      </c>
      <c r="V420" s="15">
        <v>0.41299999999999998</v>
      </c>
      <c r="W420" s="15">
        <v>106.09399999999999</v>
      </c>
      <c r="X420" s="15">
        <v>4</v>
      </c>
      <c r="Y420" s="16" t="s">
        <v>4</v>
      </c>
    </row>
    <row r="421" spans="1:25" x14ac:dyDescent="0.3">
      <c r="A421" s="17" t="s">
        <v>1279</v>
      </c>
      <c r="B421" s="18" t="s">
        <v>1280</v>
      </c>
      <c r="C421" s="18" t="s">
        <v>1281</v>
      </c>
      <c r="D421" s="18" t="s">
        <v>1282</v>
      </c>
      <c r="E421" s="18" t="str">
        <f t="shared" si="29"/>
        <v>Average</v>
      </c>
      <c r="F421" s="18">
        <v>42</v>
      </c>
      <c r="G421" s="30">
        <f t="shared" si="30"/>
        <v>35.74433333333333</v>
      </c>
      <c r="H421" s="18">
        <v>214466</v>
      </c>
      <c r="I421" s="18" t="str">
        <f t="shared" si="31"/>
        <v>Clean</v>
      </c>
      <c r="J421" s="18" t="b">
        <v>0</v>
      </c>
      <c r="K421" s="18" t="str">
        <f t="shared" si="32"/>
        <v>Low</v>
      </c>
      <c r="L421" s="18">
        <v>0.35599999999999998</v>
      </c>
      <c r="M421" s="18" t="str">
        <f t="shared" si="33"/>
        <v>Low Energy</v>
      </c>
      <c r="N421" s="18">
        <v>0.23</v>
      </c>
      <c r="O421" s="18">
        <v>6</v>
      </c>
      <c r="P421" s="18">
        <v>-16.957000000000001</v>
      </c>
      <c r="Q421" s="18">
        <v>0</v>
      </c>
      <c r="R421" s="18">
        <v>5.1900000000000002E-2</v>
      </c>
      <c r="S421" s="18">
        <v>0.92300000000000004</v>
      </c>
      <c r="T421" s="18">
        <v>0.80100000000000005</v>
      </c>
      <c r="U421" s="18">
        <v>0.112</v>
      </c>
      <c r="V421" s="18">
        <v>0.11</v>
      </c>
      <c r="W421" s="18">
        <v>129.53200000000001</v>
      </c>
      <c r="X421" s="18">
        <v>4</v>
      </c>
      <c r="Y421" s="19" t="s">
        <v>4</v>
      </c>
    </row>
    <row r="422" spans="1:25" x14ac:dyDescent="0.3">
      <c r="A422" s="14" t="s">
        <v>1283</v>
      </c>
      <c r="B422" s="15" t="s">
        <v>1284</v>
      </c>
      <c r="C422" s="15" t="s">
        <v>1285</v>
      </c>
      <c r="D422" s="15" t="s">
        <v>1286</v>
      </c>
      <c r="E422" s="15" t="str">
        <f t="shared" si="29"/>
        <v>Average</v>
      </c>
      <c r="F422" s="15">
        <v>47</v>
      </c>
      <c r="G422" s="30">
        <f t="shared" si="30"/>
        <v>26.744333333333334</v>
      </c>
      <c r="H422" s="15">
        <v>160466</v>
      </c>
      <c r="I422" s="15" t="str">
        <f t="shared" si="31"/>
        <v>Clean</v>
      </c>
      <c r="J422" s="15" t="b">
        <v>0</v>
      </c>
      <c r="K422" s="15" t="str">
        <f t="shared" si="32"/>
        <v>Moderate</v>
      </c>
      <c r="L422" s="15">
        <v>0.432</v>
      </c>
      <c r="M422" s="15" t="str">
        <f t="shared" si="33"/>
        <v>High Energy</v>
      </c>
      <c r="N422" s="15">
        <v>0.79600000000000004</v>
      </c>
      <c r="O422" s="15">
        <v>7</v>
      </c>
      <c r="P422" s="15">
        <v>-7.2619999999999996</v>
      </c>
      <c r="Q422" s="15">
        <v>1</v>
      </c>
      <c r="R422" s="15">
        <v>6.0600000000000001E-2</v>
      </c>
      <c r="S422" s="15">
        <v>1.5300000000000001E-4</v>
      </c>
      <c r="T422" s="15">
        <v>2.0899999999999998E-3</v>
      </c>
      <c r="U422" s="15">
        <v>0.26600000000000001</v>
      </c>
      <c r="V422" s="15">
        <v>0.27100000000000002</v>
      </c>
      <c r="W422" s="15">
        <v>141.86799999999999</v>
      </c>
      <c r="X422" s="15">
        <v>4</v>
      </c>
      <c r="Y422" s="16" t="s">
        <v>4</v>
      </c>
    </row>
    <row r="423" spans="1:25" x14ac:dyDescent="0.3">
      <c r="A423" s="17" t="s">
        <v>1287</v>
      </c>
      <c r="B423" s="18" t="s">
        <v>676</v>
      </c>
      <c r="C423" s="18" t="s">
        <v>1288</v>
      </c>
      <c r="D423" s="18" t="s">
        <v>1288</v>
      </c>
      <c r="E423" s="18" t="str">
        <f t="shared" si="29"/>
        <v>Average</v>
      </c>
      <c r="F423" s="18">
        <v>55</v>
      </c>
      <c r="G423" s="30">
        <f t="shared" si="30"/>
        <v>29.804333333333332</v>
      </c>
      <c r="H423" s="18">
        <v>178826</v>
      </c>
      <c r="I423" s="18" t="str">
        <f t="shared" si="31"/>
        <v>Clean</v>
      </c>
      <c r="J423" s="18" t="b">
        <v>0</v>
      </c>
      <c r="K423" s="18" t="str">
        <f t="shared" si="32"/>
        <v>Moderate</v>
      </c>
      <c r="L423" s="18">
        <v>0.69299999999999995</v>
      </c>
      <c r="M423" s="18" t="str">
        <f t="shared" si="33"/>
        <v>Medium Energy</v>
      </c>
      <c r="N423" s="18">
        <v>0.66400000000000003</v>
      </c>
      <c r="O423" s="18">
        <v>4</v>
      </c>
      <c r="P423" s="18">
        <v>-5.8520000000000003</v>
      </c>
      <c r="Q423" s="18">
        <v>1</v>
      </c>
      <c r="R423" s="18">
        <v>3.3599999999999998E-2</v>
      </c>
      <c r="S423" s="18">
        <v>3.09E-2</v>
      </c>
      <c r="T423" s="18">
        <v>0</v>
      </c>
      <c r="U423" s="18">
        <v>0.223</v>
      </c>
      <c r="V423" s="18">
        <v>0.436</v>
      </c>
      <c r="W423" s="18">
        <v>132.059</v>
      </c>
      <c r="X423" s="18">
        <v>4</v>
      </c>
      <c r="Y423" s="19" t="s">
        <v>4</v>
      </c>
    </row>
    <row r="424" spans="1:25" x14ac:dyDescent="0.3">
      <c r="A424" s="14" t="s">
        <v>1289</v>
      </c>
      <c r="B424" s="15" t="s">
        <v>398</v>
      </c>
      <c r="C424" s="15" t="s">
        <v>1290</v>
      </c>
      <c r="D424" s="15" t="s">
        <v>1291</v>
      </c>
      <c r="E424" s="15" t="str">
        <f t="shared" si="29"/>
        <v>Average</v>
      </c>
      <c r="F424" s="15">
        <v>56</v>
      </c>
      <c r="G424" s="30">
        <f t="shared" si="30"/>
        <v>23.084333333333333</v>
      </c>
      <c r="H424" s="15">
        <v>138506</v>
      </c>
      <c r="I424" s="15" t="str">
        <f t="shared" si="31"/>
        <v>Clean</v>
      </c>
      <c r="J424" s="15" t="b">
        <v>0</v>
      </c>
      <c r="K424" s="15" t="str">
        <f t="shared" si="32"/>
        <v>Moderate</v>
      </c>
      <c r="L424" s="15">
        <v>0.624</v>
      </c>
      <c r="M424" s="15" t="str">
        <f t="shared" si="33"/>
        <v>Low Energy</v>
      </c>
      <c r="N424" s="15">
        <v>0.33400000000000002</v>
      </c>
      <c r="O424" s="15">
        <v>3</v>
      </c>
      <c r="P424" s="15">
        <v>-11.89</v>
      </c>
      <c r="Q424" s="15">
        <v>1</v>
      </c>
      <c r="R424" s="15">
        <v>3.9100000000000003E-2</v>
      </c>
      <c r="S424" s="15">
        <v>0.32100000000000001</v>
      </c>
      <c r="T424" s="20" t="s">
        <v>1292</v>
      </c>
      <c r="U424" s="15">
        <v>0.113</v>
      </c>
      <c r="V424" s="15">
        <v>0.39700000000000002</v>
      </c>
      <c r="W424" s="15">
        <v>157.91999999999999</v>
      </c>
      <c r="X424" s="15">
        <v>4</v>
      </c>
      <c r="Y424" s="16" t="s">
        <v>4</v>
      </c>
    </row>
    <row r="425" spans="1:25" x14ac:dyDescent="0.3">
      <c r="A425" s="17" t="s">
        <v>1293</v>
      </c>
      <c r="B425" s="18" t="s">
        <v>411</v>
      </c>
      <c r="C425" s="18" t="s">
        <v>863</v>
      </c>
      <c r="D425" s="18" t="s">
        <v>1294</v>
      </c>
      <c r="E425" s="18" t="str">
        <f t="shared" si="29"/>
        <v>Average</v>
      </c>
      <c r="F425" s="18">
        <v>49</v>
      </c>
      <c r="G425" s="30">
        <f t="shared" si="30"/>
        <v>38.435499999999998</v>
      </c>
      <c r="H425" s="18">
        <v>230613</v>
      </c>
      <c r="I425" s="18" t="str">
        <f t="shared" si="31"/>
        <v>Clean</v>
      </c>
      <c r="J425" s="18" t="b">
        <v>0</v>
      </c>
      <c r="K425" s="18" t="str">
        <f t="shared" si="32"/>
        <v>Moderate</v>
      </c>
      <c r="L425" s="18">
        <v>0.42299999999999999</v>
      </c>
      <c r="M425" s="18" t="str">
        <f t="shared" si="33"/>
        <v>Medium Energy</v>
      </c>
      <c r="N425" s="18">
        <v>0.57199999999999995</v>
      </c>
      <c r="O425" s="18">
        <v>6</v>
      </c>
      <c r="P425" s="18">
        <v>-5.109</v>
      </c>
      <c r="Q425" s="18">
        <v>1</v>
      </c>
      <c r="R425" s="18">
        <v>3.4700000000000002E-2</v>
      </c>
      <c r="S425" s="18">
        <v>1.5800000000000002E-2</v>
      </c>
      <c r="T425" s="18">
        <v>0</v>
      </c>
      <c r="U425" s="18">
        <v>0.23100000000000001</v>
      </c>
      <c r="V425" s="18">
        <v>0.17</v>
      </c>
      <c r="W425" s="18">
        <v>165.39400000000001</v>
      </c>
      <c r="X425" s="18">
        <v>4</v>
      </c>
      <c r="Y425" s="19" t="s">
        <v>4</v>
      </c>
    </row>
    <row r="426" spans="1:25" x14ac:dyDescent="0.3">
      <c r="A426" s="14" t="s">
        <v>1295</v>
      </c>
      <c r="B426" s="15" t="s">
        <v>1296</v>
      </c>
      <c r="C426" s="15" t="s">
        <v>1297</v>
      </c>
      <c r="D426" s="15" t="s">
        <v>810</v>
      </c>
      <c r="E426" s="15" t="str">
        <f t="shared" si="29"/>
        <v>Average</v>
      </c>
      <c r="F426" s="15">
        <v>50</v>
      </c>
      <c r="G426" s="30">
        <f t="shared" si="30"/>
        <v>18.640333333333334</v>
      </c>
      <c r="H426" s="15">
        <v>111842</v>
      </c>
      <c r="I426" s="15" t="str">
        <f t="shared" si="31"/>
        <v>Clean</v>
      </c>
      <c r="J426" s="15" t="b">
        <v>0</v>
      </c>
      <c r="K426" s="15" t="str">
        <f t="shared" si="32"/>
        <v>Moderate</v>
      </c>
      <c r="L426" s="15">
        <v>0.55500000000000005</v>
      </c>
      <c r="M426" s="15" t="str">
        <f t="shared" si="33"/>
        <v>Low Energy</v>
      </c>
      <c r="N426" s="15">
        <v>8.7900000000000006E-2</v>
      </c>
      <c r="O426" s="15">
        <v>0</v>
      </c>
      <c r="P426" s="15">
        <v>-12.141</v>
      </c>
      <c r="Q426" s="15">
        <v>1</v>
      </c>
      <c r="R426" s="15">
        <v>4.7699999999999999E-2</v>
      </c>
      <c r="S426" s="15">
        <v>0.96799999999999997</v>
      </c>
      <c r="T426" s="15">
        <v>0</v>
      </c>
      <c r="U426" s="15">
        <v>9.6000000000000002E-2</v>
      </c>
      <c r="V426" s="15">
        <v>0.42799999999999999</v>
      </c>
      <c r="W426" s="15">
        <v>84.174000000000007</v>
      </c>
      <c r="X426" s="15">
        <v>4</v>
      </c>
      <c r="Y426" s="16" t="s">
        <v>4</v>
      </c>
    </row>
    <row r="427" spans="1:25" x14ac:dyDescent="0.3">
      <c r="A427" s="17" t="s">
        <v>1298</v>
      </c>
      <c r="B427" s="18" t="s">
        <v>1299</v>
      </c>
      <c r="C427" s="18" t="s">
        <v>1300</v>
      </c>
      <c r="D427" s="18" t="s">
        <v>1300</v>
      </c>
      <c r="E427" s="18" t="str">
        <f t="shared" si="29"/>
        <v>Average</v>
      </c>
      <c r="F427" s="18">
        <v>56</v>
      </c>
      <c r="G427" s="30">
        <f t="shared" si="30"/>
        <v>30.535499999999999</v>
      </c>
      <c r="H427" s="18">
        <v>183213</v>
      </c>
      <c r="I427" s="18" t="str">
        <f t="shared" si="31"/>
        <v>Clean</v>
      </c>
      <c r="J427" s="18" t="b">
        <v>0</v>
      </c>
      <c r="K427" s="18" t="str">
        <f t="shared" si="32"/>
        <v>Moderate</v>
      </c>
      <c r="L427" s="18">
        <v>0.496</v>
      </c>
      <c r="M427" s="18" t="str">
        <f t="shared" si="33"/>
        <v>Low Energy</v>
      </c>
      <c r="N427" s="18">
        <v>0.39100000000000001</v>
      </c>
      <c r="O427" s="18">
        <v>10</v>
      </c>
      <c r="P427" s="18">
        <v>-9.8439999999999994</v>
      </c>
      <c r="Q427" s="18">
        <v>1</v>
      </c>
      <c r="R427" s="18">
        <v>3.1099999999999999E-2</v>
      </c>
      <c r="S427" s="18">
        <v>0.82599999999999996</v>
      </c>
      <c r="T427" s="18">
        <v>1.26E-2</v>
      </c>
      <c r="U427" s="18">
        <v>0.108</v>
      </c>
      <c r="V427" s="18">
        <v>0.49199999999999999</v>
      </c>
      <c r="W427" s="18">
        <v>108.86799999999999</v>
      </c>
      <c r="X427" s="18">
        <v>4</v>
      </c>
      <c r="Y427" s="19" t="s">
        <v>4</v>
      </c>
    </row>
    <row r="428" spans="1:25" x14ac:dyDescent="0.3">
      <c r="A428" s="14" t="s">
        <v>1301</v>
      </c>
      <c r="B428" s="15" t="s">
        <v>319</v>
      </c>
      <c r="C428" s="15" t="s">
        <v>1302</v>
      </c>
      <c r="D428" s="15" t="s">
        <v>1302</v>
      </c>
      <c r="E428" s="15" t="str">
        <f t="shared" si="29"/>
        <v>Average</v>
      </c>
      <c r="F428" s="15">
        <v>52</v>
      </c>
      <c r="G428" s="30">
        <f t="shared" si="30"/>
        <v>36.75116666666667</v>
      </c>
      <c r="H428" s="15">
        <v>220507</v>
      </c>
      <c r="I428" s="15" t="str">
        <f t="shared" si="31"/>
        <v>Clean</v>
      </c>
      <c r="J428" s="15" t="b">
        <v>0</v>
      </c>
      <c r="K428" s="15" t="str">
        <f t="shared" si="32"/>
        <v>Moderate</v>
      </c>
      <c r="L428" s="15">
        <v>0.67100000000000004</v>
      </c>
      <c r="M428" s="15" t="str">
        <f t="shared" si="33"/>
        <v>Low Energy</v>
      </c>
      <c r="N428" s="15">
        <v>0.29899999999999999</v>
      </c>
      <c r="O428" s="15">
        <v>7</v>
      </c>
      <c r="P428" s="15">
        <v>-10.582000000000001</v>
      </c>
      <c r="Q428" s="15">
        <v>1</v>
      </c>
      <c r="R428" s="15">
        <v>2.8400000000000002E-2</v>
      </c>
      <c r="S428" s="15">
        <v>0.753</v>
      </c>
      <c r="T428" s="20" t="s">
        <v>1303</v>
      </c>
      <c r="U428" s="15">
        <v>9.7500000000000003E-2</v>
      </c>
      <c r="V428" s="15">
        <v>0.28599999999999998</v>
      </c>
      <c r="W428" s="15">
        <v>95.007999999999996</v>
      </c>
      <c r="X428" s="15">
        <v>4</v>
      </c>
      <c r="Y428" s="16" t="s">
        <v>4</v>
      </c>
    </row>
    <row r="429" spans="1:25" x14ac:dyDescent="0.3">
      <c r="A429" s="17" t="s">
        <v>1304</v>
      </c>
      <c r="B429" s="18" t="s">
        <v>258</v>
      </c>
      <c r="C429" s="18" t="s">
        <v>428</v>
      </c>
      <c r="D429" s="18" t="s">
        <v>1305</v>
      </c>
      <c r="E429" s="18" t="str">
        <f t="shared" si="29"/>
        <v>Average</v>
      </c>
      <c r="F429" s="18">
        <v>50</v>
      </c>
      <c r="G429" s="30">
        <f t="shared" si="30"/>
        <v>41.417666666666669</v>
      </c>
      <c r="H429" s="18">
        <v>248506</v>
      </c>
      <c r="I429" s="18" t="str">
        <f t="shared" si="31"/>
        <v>Clean</v>
      </c>
      <c r="J429" s="18" t="b">
        <v>0</v>
      </c>
      <c r="K429" s="18" t="str">
        <f t="shared" si="32"/>
        <v>Low</v>
      </c>
      <c r="L429" s="18">
        <v>0.379</v>
      </c>
      <c r="M429" s="18" t="str">
        <f t="shared" si="33"/>
        <v>Low Energy</v>
      </c>
      <c r="N429" s="18">
        <v>0.26700000000000002</v>
      </c>
      <c r="O429" s="18">
        <v>4</v>
      </c>
      <c r="P429" s="18">
        <v>-8.9809999999999999</v>
      </c>
      <c r="Q429" s="18">
        <v>1</v>
      </c>
      <c r="R429" s="18">
        <v>2.93E-2</v>
      </c>
      <c r="S429" s="18">
        <v>0.60499999999999998</v>
      </c>
      <c r="T429" s="18">
        <v>3.2200000000000002E-3</v>
      </c>
      <c r="U429" s="18">
        <v>0.152</v>
      </c>
      <c r="V429" s="18">
        <v>0.22900000000000001</v>
      </c>
      <c r="W429" s="18">
        <v>135.19800000000001</v>
      </c>
      <c r="X429" s="18">
        <v>4</v>
      </c>
      <c r="Y429" s="19" t="s">
        <v>4</v>
      </c>
    </row>
    <row r="430" spans="1:25" x14ac:dyDescent="0.3">
      <c r="A430" s="14" t="s">
        <v>1306</v>
      </c>
      <c r="B430" s="15" t="s">
        <v>571</v>
      </c>
      <c r="C430" s="15" t="s">
        <v>1307</v>
      </c>
      <c r="D430" s="15" t="s">
        <v>1308</v>
      </c>
      <c r="E430" s="15" t="str">
        <f t="shared" si="29"/>
        <v>Average</v>
      </c>
      <c r="F430" s="15">
        <v>53</v>
      </c>
      <c r="G430" s="30">
        <f t="shared" si="30"/>
        <v>44.997666666666667</v>
      </c>
      <c r="H430" s="15">
        <v>269986</v>
      </c>
      <c r="I430" s="15" t="str">
        <f t="shared" si="31"/>
        <v>Clean</v>
      </c>
      <c r="J430" s="15" t="b">
        <v>0</v>
      </c>
      <c r="K430" s="15" t="str">
        <f t="shared" si="32"/>
        <v>Moderate</v>
      </c>
      <c r="L430" s="15">
        <v>0.499</v>
      </c>
      <c r="M430" s="15" t="str">
        <f t="shared" si="33"/>
        <v>Low Energy</v>
      </c>
      <c r="N430" s="15">
        <v>0.20899999999999999</v>
      </c>
      <c r="O430" s="15">
        <v>3</v>
      </c>
      <c r="P430" s="15">
        <v>-16.667999999999999</v>
      </c>
      <c r="Q430" s="15">
        <v>1</v>
      </c>
      <c r="R430" s="15">
        <v>3.0499999999999999E-2</v>
      </c>
      <c r="S430" s="15">
        <v>0.88200000000000001</v>
      </c>
      <c r="T430" s="15">
        <v>4.9100000000000003E-3</v>
      </c>
      <c r="U430" s="15">
        <v>8.7999999999999995E-2</v>
      </c>
      <c r="V430" s="15">
        <v>0.13800000000000001</v>
      </c>
      <c r="W430" s="15">
        <v>82.891999999999996</v>
      </c>
      <c r="X430" s="15">
        <v>4</v>
      </c>
      <c r="Y430" s="16" t="s">
        <v>4</v>
      </c>
    </row>
    <row r="431" spans="1:25" x14ac:dyDescent="0.3">
      <c r="A431" s="17" t="s">
        <v>1309</v>
      </c>
      <c r="B431" s="18" t="s">
        <v>971</v>
      </c>
      <c r="C431" s="18" t="s">
        <v>1310</v>
      </c>
      <c r="D431" s="18" t="s">
        <v>1311</v>
      </c>
      <c r="E431" s="18" t="str">
        <f t="shared" si="29"/>
        <v>Low</v>
      </c>
      <c r="F431" s="18">
        <v>33</v>
      </c>
      <c r="G431" s="30">
        <f t="shared" si="30"/>
        <v>45.462166666666668</v>
      </c>
      <c r="H431" s="18">
        <v>272773</v>
      </c>
      <c r="I431" s="18" t="str">
        <f t="shared" si="31"/>
        <v>Clean</v>
      </c>
      <c r="J431" s="18" t="b">
        <v>0</v>
      </c>
      <c r="K431" s="18" t="str">
        <f t="shared" si="32"/>
        <v>Moderate</v>
      </c>
      <c r="L431" s="18">
        <v>0.64900000000000002</v>
      </c>
      <c r="M431" s="18" t="str">
        <f t="shared" si="33"/>
        <v>Low Energy</v>
      </c>
      <c r="N431" s="18">
        <v>0.33600000000000002</v>
      </c>
      <c r="O431" s="18">
        <v>7</v>
      </c>
      <c r="P431" s="18">
        <v>-12.053000000000001</v>
      </c>
      <c r="Q431" s="18">
        <v>1</v>
      </c>
      <c r="R431" s="18">
        <v>2.9899999999999999E-2</v>
      </c>
      <c r="S431" s="18">
        <v>0.27</v>
      </c>
      <c r="T431" s="18">
        <v>0</v>
      </c>
      <c r="U431" s="18">
        <v>0.13700000000000001</v>
      </c>
      <c r="V431" s="18">
        <v>0.47</v>
      </c>
      <c r="W431" s="18">
        <v>71.966999999999999</v>
      </c>
      <c r="X431" s="18">
        <v>4</v>
      </c>
      <c r="Y431" s="19" t="s">
        <v>4</v>
      </c>
    </row>
    <row r="432" spans="1:25" x14ac:dyDescent="0.3">
      <c r="A432" s="14" t="s">
        <v>1312</v>
      </c>
      <c r="B432" s="15" t="s">
        <v>1313</v>
      </c>
      <c r="C432" s="15" t="s">
        <v>1314</v>
      </c>
      <c r="D432" s="15" t="s">
        <v>1315</v>
      </c>
      <c r="E432" s="15" t="str">
        <f t="shared" si="29"/>
        <v>Average</v>
      </c>
      <c r="F432" s="15">
        <v>54</v>
      </c>
      <c r="G432" s="30">
        <f t="shared" si="30"/>
        <v>31.607666666666667</v>
      </c>
      <c r="H432" s="15">
        <v>189646</v>
      </c>
      <c r="I432" s="15" t="str">
        <f t="shared" si="31"/>
        <v>Clean</v>
      </c>
      <c r="J432" s="15" t="b">
        <v>0</v>
      </c>
      <c r="K432" s="15" t="str">
        <f t="shared" si="32"/>
        <v>Very Danceable</v>
      </c>
      <c r="L432" s="15">
        <v>0.746</v>
      </c>
      <c r="M432" s="15" t="str">
        <f t="shared" si="33"/>
        <v>Low Energy</v>
      </c>
      <c r="N432" s="15">
        <v>0.25700000000000001</v>
      </c>
      <c r="O432" s="15">
        <v>0</v>
      </c>
      <c r="P432" s="15">
        <v>-9.8780000000000001</v>
      </c>
      <c r="Q432" s="15">
        <v>1</v>
      </c>
      <c r="R432" s="15">
        <v>3.1199999999999999E-2</v>
      </c>
      <c r="S432" s="15">
        <v>0.77200000000000002</v>
      </c>
      <c r="T432" s="15">
        <v>0</v>
      </c>
      <c r="U432" s="15">
        <v>0.107</v>
      </c>
      <c r="V432" s="15">
        <v>0.34799999999999998</v>
      </c>
      <c r="W432" s="15">
        <v>132.03200000000001</v>
      </c>
      <c r="X432" s="15">
        <v>4</v>
      </c>
      <c r="Y432" s="16" t="s">
        <v>4</v>
      </c>
    </row>
    <row r="433" spans="1:25" x14ac:dyDescent="0.3">
      <c r="A433" s="17" t="s">
        <v>1316</v>
      </c>
      <c r="B433" s="18" t="s">
        <v>25</v>
      </c>
      <c r="C433" s="18" t="s">
        <v>1317</v>
      </c>
      <c r="D433" s="18" t="s">
        <v>1318</v>
      </c>
      <c r="E433" s="18" t="str">
        <f t="shared" si="29"/>
        <v>Average</v>
      </c>
      <c r="F433" s="18">
        <v>50</v>
      </c>
      <c r="G433" s="30">
        <f t="shared" si="30"/>
        <v>43.803333333333335</v>
      </c>
      <c r="H433" s="18">
        <v>262820</v>
      </c>
      <c r="I433" s="18" t="str">
        <f t="shared" si="31"/>
        <v>Clean</v>
      </c>
      <c r="J433" s="18" t="b">
        <v>0</v>
      </c>
      <c r="K433" s="18" t="str">
        <f t="shared" si="32"/>
        <v>Low</v>
      </c>
      <c r="L433" s="18">
        <v>0.39300000000000002</v>
      </c>
      <c r="M433" s="18" t="str">
        <f t="shared" si="33"/>
        <v>Low Energy</v>
      </c>
      <c r="N433" s="18">
        <v>0.26800000000000002</v>
      </c>
      <c r="O433" s="18">
        <v>9</v>
      </c>
      <c r="P433" s="18">
        <v>-6.7409999999999997</v>
      </c>
      <c r="Q433" s="18">
        <v>1</v>
      </c>
      <c r="R433" s="18">
        <v>3.85E-2</v>
      </c>
      <c r="S433" s="18">
        <v>0.69699999999999995</v>
      </c>
      <c r="T433" s="18">
        <v>0</v>
      </c>
      <c r="U433" s="18">
        <v>0.11</v>
      </c>
      <c r="V433" s="18">
        <v>0.22500000000000001</v>
      </c>
      <c r="W433" s="18">
        <v>110.456</v>
      </c>
      <c r="X433" s="18">
        <v>4</v>
      </c>
      <c r="Y433" s="19" t="s">
        <v>4</v>
      </c>
    </row>
    <row r="434" spans="1:25" x14ac:dyDescent="0.3">
      <c r="A434" s="14" t="s">
        <v>1319</v>
      </c>
      <c r="B434" s="15" t="s">
        <v>982</v>
      </c>
      <c r="C434" s="15" t="s">
        <v>1320</v>
      </c>
      <c r="D434" s="15" t="s">
        <v>1321</v>
      </c>
      <c r="E434" s="15" t="str">
        <f t="shared" si="29"/>
        <v>Average</v>
      </c>
      <c r="F434" s="15">
        <v>54</v>
      </c>
      <c r="G434" s="30">
        <f t="shared" si="30"/>
        <v>32.535499999999999</v>
      </c>
      <c r="H434" s="15">
        <v>195213</v>
      </c>
      <c r="I434" s="15" t="str">
        <f t="shared" si="31"/>
        <v>Clean</v>
      </c>
      <c r="J434" s="15" t="b">
        <v>0</v>
      </c>
      <c r="K434" s="15" t="str">
        <f t="shared" si="32"/>
        <v>Moderate</v>
      </c>
      <c r="L434" s="15">
        <v>0.629</v>
      </c>
      <c r="M434" s="15" t="str">
        <f t="shared" si="33"/>
        <v>Medium Energy</v>
      </c>
      <c r="N434" s="15">
        <v>0.67300000000000004</v>
      </c>
      <c r="O434" s="15">
        <v>6</v>
      </c>
      <c r="P434" s="15">
        <v>-4.3789999999999996</v>
      </c>
      <c r="Q434" s="15">
        <v>1</v>
      </c>
      <c r="R434" s="15">
        <v>2.6200000000000001E-2</v>
      </c>
      <c r="S434" s="15">
        <v>0.29399999999999998</v>
      </c>
      <c r="T434" s="15">
        <v>1.09E-2</v>
      </c>
      <c r="U434" s="15">
        <v>0.13900000000000001</v>
      </c>
      <c r="V434" s="15">
        <v>0.41899999999999998</v>
      </c>
      <c r="W434" s="15">
        <v>114.24299999999999</v>
      </c>
      <c r="X434" s="15">
        <v>4</v>
      </c>
      <c r="Y434" s="16" t="s">
        <v>4</v>
      </c>
    </row>
    <row r="435" spans="1:25" x14ac:dyDescent="0.3">
      <c r="A435" s="17" t="s">
        <v>1322</v>
      </c>
      <c r="B435" s="18" t="s">
        <v>168</v>
      </c>
      <c r="C435" s="18" t="s">
        <v>1323</v>
      </c>
      <c r="D435" s="18" t="s">
        <v>225</v>
      </c>
      <c r="E435" s="18" t="str">
        <f t="shared" si="29"/>
        <v>Average</v>
      </c>
      <c r="F435" s="18">
        <v>55</v>
      </c>
      <c r="G435" s="30">
        <f t="shared" si="30"/>
        <v>38.051833333333335</v>
      </c>
      <c r="H435" s="18">
        <v>228311</v>
      </c>
      <c r="I435" s="18" t="str">
        <f t="shared" si="31"/>
        <v>Clean</v>
      </c>
      <c r="J435" s="18" t="b">
        <v>0</v>
      </c>
      <c r="K435" s="18" t="str">
        <f t="shared" si="32"/>
        <v>Moderate</v>
      </c>
      <c r="L435" s="18">
        <v>0.45800000000000002</v>
      </c>
      <c r="M435" s="18" t="str">
        <f t="shared" si="33"/>
        <v>Low Energy</v>
      </c>
      <c r="N435" s="18">
        <v>0.36299999999999999</v>
      </c>
      <c r="O435" s="18">
        <v>5</v>
      </c>
      <c r="P435" s="18">
        <v>-6.4729999999999999</v>
      </c>
      <c r="Q435" s="18">
        <v>1</v>
      </c>
      <c r="R435" s="18">
        <v>3.2000000000000001E-2</v>
      </c>
      <c r="S435" s="18">
        <v>0.89200000000000002</v>
      </c>
      <c r="T435" s="21" t="s">
        <v>1324</v>
      </c>
      <c r="U435" s="18">
        <v>0.155</v>
      </c>
      <c r="V435" s="18">
        <v>0.49199999999999999</v>
      </c>
      <c r="W435" s="18">
        <v>134.25200000000001</v>
      </c>
      <c r="X435" s="18">
        <v>3</v>
      </c>
      <c r="Y435" s="19" t="s">
        <v>4</v>
      </c>
    </row>
    <row r="436" spans="1:25" x14ac:dyDescent="0.3">
      <c r="A436" s="14" t="s">
        <v>1325</v>
      </c>
      <c r="B436" s="15" t="s">
        <v>1326</v>
      </c>
      <c r="C436" s="15" t="s">
        <v>1327</v>
      </c>
      <c r="D436" s="15" t="s">
        <v>1327</v>
      </c>
      <c r="E436" s="15" t="str">
        <f t="shared" si="29"/>
        <v>Low</v>
      </c>
      <c r="F436" s="15">
        <v>32</v>
      </c>
      <c r="G436" s="30">
        <f t="shared" si="30"/>
        <v>25.965333333333334</v>
      </c>
      <c r="H436" s="15">
        <v>155792</v>
      </c>
      <c r="I436" s="15" t="str">
        <f t="shared" si="31"/>
        <v>Clean</v>
      </c>
      <c r="J436" s="15" t="b">
        <v>0</v>
      </c>
      <c r="K436" s="15" t="str">
        <f t="shared" si="32"/>
        <v>Moderate</v>
      </c>
      <c r="L436" s="15">
        <v>0.45200000000000001</v>
      </c>
      <c r="M436" s="15" t="str">
        <f t="shared" si="33"/>
        <v>Low Energy</v>
      </c>
      <c r="N436" s="15">
        <v>0.26800000000000002</v>
      </c>
      <c r="O436" s="15">
        <v>8</v>
      </c>
      <c r="P436" s="15">
        <v>-9.4049999999999994</v>
      </c>
      <c r="Q436" s="15">
        <v>1</v>
      </c>
      <c r="R436" s="15">
        <v>3.1099999999999999E-2</v>
      </c>
      <c r="S436" s="15">
        <v>0.96099999999999997</v>
      </c>
      <c r="T436" s="20" t="s">
        <v>1328</v>
      </c>
      <c r="U436" s="15">
        <v>0.11899999999999999</v>
      </c>
      <c r="V436" s="15">
        <v>0.26500000000000001</v>
      </c>
      <c r="W436" s="15">
        <v>66.805000000000007</v>
      </c>
      <c r="X436" s="15">
        <v>4</v>
      </c>
      <c r="Y436" s="16" t="s">
        <v>4</v>
      </c>
    </row>
    <row r="437" spans="1:25" x14ac:dyDescent="0.3">
      <c r="A437" s="17" t="s">
        <v>1329</v>
      </c>
      <c r="B437" s="18" t="s">
        <v>971</v>
      </c>
      <c r="C437" s="18" t="s">
        <v>1330</v>
      </c>
      <c r="D437" s="18" t="s">
        <v>1331</v>
      </c>
      <c r="E437" s="18" t="str">
        <f t="shared" si="29"/>
        <v>Low</v>
      </c>
      <c r="F437" s="18">
        <v>33</v>
      </c>
      <c r="G437" s="30">
        <f t="shared" si="30"/>
        <v>42.750999999999998</v>
      </c>
      <c r="H437" s="18">
        <v>256506</v>
      </c>
      <c r="I437" s="18" t="str">
        <f t="shared" si="31"/>
        <v>Clean</v>
      </c>
      <c r="J437" s="18" t="b">
        <v>0</v>
      </c>
      <c r="K437" s="18" t="str">
        <f t="shared" si="32"/>
        <v>Moderate</v>
      </c>
      <c r="L437" s="18">
        <v>0.61599999999999999</v>
      </c>
      <c r="M437" s="18" t="str">
        <f t="shared" si="33"/>
        <v>High Energy</v>
      </c>
      <c r="N437" s="18">
        <v>0.79100000000000004</v>
      </c>
      <c r="O437" s="18">
        <v>9</v>
      </c>
      <c r="P437" s="18">
        <v>-6.2460000000000004</v>
      </c>
      <c r="Q437" s="18">
        <v>1</v>
      </c>
      <c r="R437" s="18">
        <v>2.93E-2</v>
      </c>
      <c r="S437" s="18">
        <v>5.9900000000000002E-2</v>
      </c>
      <c r="T437" s="21" t="s">
        <v>1332</v>
      </c>
      <c r="U437" s="18">
        <v>0.318</v>
      </c>
      <c r="V437" s="18">
        <v>0.58899999999999997</v>
      </c>
      <c r="W437" s="18">
        <v>126.764</v>
      </c>
      <c r="X437" s="18">
        <v>4</v>
      </c>
      <c r="Y437" s="19" t="s">
        <v>4</v>
      </c>
    </row>
    <row r="438" spans="1:25" x14ac:dyDescent="0.3">
      <c r="A438" s="14" t="s">
        <v>1333</v>
      </c>
      <c r="B438" s="15" t="s">
        <v>1334</v>
      </c>
      <c r="C438" s="15" t="s">
        <v>1335</v>
      </c>
      <c r="D438" s="15" t="s">
        <v>1336</v>
      </c>
      <c r="E438" s="15" t="str">
        <f t="shared" si="29"/>
        <v>Average</v>
      </c>
      <c r="F438" s="15">
        <v>50</v>
      </c>
      <c r="G438" s="30">
        <f t="shared" si="30"/>
        <v>40</v>
      </c>
      <c r="H438" s="15">
        <v>240000</v>
      </c>
      <c r="I438" s="15" t="str">
        <f t="shared" si="31"/>
        <v>Clean</v>
      </c>
      <c r="J438" s="15" t="b">
        <v>0</v>
      </c>
      <c r="K438" s="15" t="str">
        <f t="shared" si="32"/>
        <v>Moderate</v>
      </c>
      <c r="L438" s="15">
        <v>0.61899999999999999</v>
      </c>
      <c r="M438" s="15" t="str">
        <f t="shared" si="33"/>
        <v>Low Energy</v>
      </c>
      <c r="N438" s="15">
        <v>0.27800000000000002</v>
      </c>
      <c r="O438" s="15">
        <v>4</v>
      </c>
      <c r="P438" s="15">
        <v>-7.0720000000000001</v>
      </c>
      <c r="Q438" s="15">
        <v>1</v>
      </c>
      <c r="R438" s="15">
        <v>2.6700000000000002E-2</v>
      </c>
      <c r="S438" s="15">
        <v>0.83599999999999997</v>
      </c>
      <c r="T438" s="15">
        <v>0</v>
      </c>
      <c r="U438" s="15">
        <v>0.121</v>
      </c>
      <c r="V438" s="15">
        <v>0.23300000000000001</v>
      </c>
      <c r="W438" s="15">
        <v>129.94800000000001</v>
      </c>
      <c r="X438" s="15">
        <v>4</v>
      </c>
      <c r="Y438" s="16" t="s">
        <v>4</v>
      </c>
    </row>
    <row r="439" spans="1:25" x14ac:dyDescent="0.3">
      <c r="A439" s="17" t="s">
        <v>1337</v>
      </c>
      <c r="B439" s="18" t="s">
        <v>497</v>
      </c>
      <c r="C439" s="18" t="s">
        <v>1338</v>
      </c>
      <c r="D439" s="18" t="s">
        <v>1339</v>
      </c>
      <c r="E439" s="18" t="str">
        <f t="shared" si="29"/>
        <v>Average</v>
      </c>
      <c r="F439" s="18">
        <v>56</v>
      </c>
      <c r="G439" s="30">
        <f t="shared" si="30"/>
        <v>32.222166666666666</v>
      </c>
      <c r="H439" s="18">
        <v>193333</v>
      </c>
      <c r="I439" s="18" t="str">
        <f t="shared" si="31"/>
        <v>Clean</v>
      </c>
      <c r="J439" s="18" t="b">
        <v>0</v>
      </c>
      <c r="K439" s="18" t="str">
        <f t="shared" si="32"/>
        <v>Moderate</v>
      </c>
      <c r="L439" s="18">
        <v>0.63400000000000001</v>
      </c>
      <c r="M439" s="18" t="str">
        <f t="shared" si="33"/>
        <v>Low Energy</v>
      </c>
      <c r="N439" s="18">
        <v>0.17599999999999999</v>
      </c>
      <c r="O439" s="18">
        <v>0</v>
      </c>
      <c r="P439" s="18">
        <v>-14.702999999999999</v>
      </c>
      <c r="Q439" s="18">
        <v>1</v>
      </c>
      <c r="R439" s="18">
        <v>3.0700000000000002E-2</v>
      </c>
      <c r="S439" s="18">
        <v>0.93100000000000005</v>
      </c>
      <c r="T439" s="21" t="s">
        <v>1340</v>
      </c>
      <c r="U439" s="18">
        <v>0.13600000000000001</v>
      </c>
      <c r="V439" s="18">
        <v>0.33500000000000002</v>
      </c>
      <c r="W439" s="18">
        <v>107.974</v>
      </c>
      <c r="X439" s="18">
        <v>4</v>
      </c>
      <c r="Y439" s="19" t="s">
        <v>4</v>
      </c>
    </row>
    <row r="440" spans="1:25" x14ac:dyDescent="0.3">
      <c r="A440" s="14" t="s">
        <v>1341</v>
      </c>
      <c r="B440" s="15" t="s">
        <v>589</v>
      </c>
      <c r="C440" s="15" t="s">
        <v>590</v>
      </c>
      <c r="D440" s="15" t="s">
        <v>1342</v>
      </c>
      <c r="E440" s="15" t="str">
        <f t="shared" si="29"/>
        <v>Popular</v>
      </c>
      <c r="F440" s="15">
        <v>63</v>
      </c>
      <c r="G440" s="30">
        <f t="shared" si="30"/>
        <v>45.511000000000003</v>
      </c>
      <c r="H440" s="15">
        <v>273066</v>
      </c>
      <c r="I440" s="15" t="str">
        <f t="shared" si="31"/>
        <v>Clean</v>
      </c>
      <c r="J440" s="15" t="b">
        <v>0</v>
      </c>
      <c r="K440" s="15" t="str">
        <f t="shared" si="32"/>
        <v>Moderate</v>
      </c>
      <c r="L440" s="15">
        <v>0.54900000000000004</v>
      </c>
      <c r="M440" s="15" t="str">
        <f t="shared" si="33"/>
        <v>Medium Energy</v>
      </c>
      <c r="N440" s="15">
        <v>0.437</v>
      </c>
      <c r="O440" s="15">
        <v>7</v>
      </c>
      <c r="P440" s="15">
        <v>-8.64</v>
      </c>
      <c r="Q440" s="15">
        <v>1</v>
      </c>
      <c r="R440" s="15">
        <v>3.1300000000000001E-2</v>
      </c>
      <c r="S440" s="15">
        <v>0.68200000000000005</v>
      </c>
      <c r="T440" s="20" t="s">
        <v>1343</v>
      </c>
      <c r="U440" s="15">
        <v>0.224</v>
      </c>
      <c r="V440" s="15">
        <v>0.68799999999999994</v>
      </c>
      <c r="W440" s="15">
        <v>153.60400000000001</v>
      </c>
      <c r="X440" s="15">
        <v>4</v>
      </c>
      <c r="Y440" s="16" t="s">
        <v>4</v>
      </c>
    </row>
    <row r="441" spans="1:25" x14ac:dyDescent="0.3">
      <c r="A441" s="17" t="s">
        <v>1344</v>
      </c>
      <c r="B441" s="18" t="s">
        <v>129</v>
      </c>
      <c r="C441" s="18" t="s">
        <v>265</v>
      </c>
      <c r="D441" s="18" t="s">
        <v>1345</v>
      </c>
      <c r="E441" s="18" t="str">
        <f t="shared" si="29"/>
        <v>Average</v>
      </c>
      <c r="F441" s="18">
        <v>48</v>
      </c>
      <c r="G441" s="30">
        <f t="shared" si="30"/>
        <v>27.051500000000001</v>
      </c>
      <c r="H441" s="18">
        <v>162309</v>
      </c>
      <c r="I441" s="18" t="str">
        <f t="shared" si="31"/>
        <v>Clean</v>
      </c>
      <c r="J441" s="18" t="b">
        <v>0</v>
      </c>
      <c r="K441" s="18" t="str">
        <f t="shared" si="32"/>
        <v>Low</v>
      </c>
      <c r="L441" s="18">
        <v>0.29199999999999998</v>
      </c>
      <c r="M441" s="18" t="str">
        <f t="shared" si="33"/>
        <v>Low Energy</v>
      </c>
      <c r="N441" s="18">
        <v>0.33900000000000002</v>
      </c>
      <c r="O441" s="18">
        <v>7</v>
      </c>
      <c r="P441" s="18">
        <v>-13.153</v>
      </c>
      <c r="Q441" s="18">
        <v>1</v>
      </c>
      <c r="R441" s="18">
        <v>3.2000000000000001E-2</v>
      </c>
      <c r="S441" s="18">
        <v>0.92300000000000004</v>
      </c>
      <c r="T441" s="18">
        <v>0.879</v>
      </c>
      <c r="U441" s="18">
        <v>0.111</v>
      </c>
      <c r="V441" s="18">
        <v>0.34300000000000003</v>
      </c>
      <c r="W441" s="18">
        <v>100.69</v>
      </c>
      <c r="X441" s="18">
        <v>4</v>
      </c>
      <c r="Y441" s="19" t="s">
        <v>4</v>
      </c>
    </row>
    <row r="442" spans="1:25" x14ac:dyDescent="0.3">
      <c r="A442" s="14" t="s">
        <v>1346</v>
      </c>
      <c r="B442" s="15" t="s">
        <v>1347</v>
      </c>
      <c r="C442" s="15" t="s">
        <v>1348</v>
      </c>
      <c r="D442" s="15" t="s">
        <v>1349</v>
      </c>
      <c r="E442" s="15" t="str">
        <f t="shared" si="29"/>
        <v>Average</v>
      </c>
      <c r="F442" s="15">
        <v>54</v>
      </c>
      <c r="G442" s="30">
        <f t="shared" si="30"/>
        <v>31.684333333333335</v>
      </c>
      <c r="H442" s="15">
        <v>190106</v>
      </c>
      <c r="I442" s="15" t="str">
        <f t="shared" si="31"/>
        <v>Clean</v>
      </c>
      <c r="J442" s="15" t="b">
        <v>0</v>
      </c>
      <c r="K442" s="15" t="str">
        <f t="shared" si="32"/>
        <v>Moderate</v>
      </c>
      <c r="L442" s="15">
        <v>0.504</v>
      </c>
      <c r="M442" s="15" t="str">
        <f t="shared" si="33"/>
        <v>Low Energy</v>
      </c>
      <c r="N442" s="15">
        <v>2.7300000000000001E-2</v>
      </c>
      <c r="O442" s="15">
        <v>2</v>
      </c>
      <c r="P442" s="15">
        <v>-21.440999999999999</v>
      </c>
      <c r="Q442" s="15">
        <v>1</v>
      </c>
      <c r="R442" s="15">
        <v>4.1500000000000002E-2</v>
      </c>
      <c r="S442" s="15">
        <v>0.93100000000000005</v>
      </c>
      <c r="T442" s="20" t="s">
        <v>1350</v>
      </c>
      <c r="U442" s="15">
        <v>0.109</v>
      </c>
      <c r="V442" s="15">
        <v>0.39500000000000002</v>
      </c>
      <c r="W442" s="15">
        <v>120.24</v>
      </c>
      <c r="X442" s="15">
        <v>4</v>
      </c>
      <c r="Y442" s="16" t="s">
        <v>4</v>
      </c>
    </row>
    <row r="443" spans="1:25" x14ac:dyDescent="0.3">
      <c r="A443" s="17" t="s">
        <v>1351</v>
      </c>
      <c r="B443" s="18" t="s">
        <v>1352</v>
      </c>
      <c r="C443" s="18" t="s">
        <v>1353</v>
      </c>
      <c r="D443" s="18" t="s">
        <v>1354</v>
      </c>
      <c r="E443" s="18" t="str">
        <f t="shared" si="29"/>
        <v>Low</v>
      </c>
      <c r="F443" s="18">
        <v>31</v>
      </c>
      <c r="G443" s="30">
        <f t="shared" si="30"/>
        <v>53.22</v>
      </c>
      <c r="H443" s="18">
        <v>319320</v>
      </c>
      <c r="I443" s="18" t="str">
        <f t="shared" si="31"/>
        <v>Clean</v>
      </c>
      <c r="J443" s="18" t="b">
        <v>0</v>
      </c>
      <c r="K443" s="18" t="str">
        <f t="shared" si="32"/>
        <v>Moderate</v>
      </c>
      <c r="L443" s="18">
        <v>0.63600000000000001</v>
      </c>
      <c r="M443" s="18" t="str">
        <f t="shared" si="33"/>
        <v>High Energy</v>
      </c>
      <c r="N443" s="18">
        <v>0.86899999999999999</v>
      </c>
      <c r="O443" s="18">
        <v>6</v>
      </c>
      <c r="P443" s="18">
        <v>-5.0949999999999998</v>
      </c>
      <c r="Q443" s="18">
        <v>0</v>
      </c>
      <c r="R443" s="18">
        <v>2.8400000000000002E-2</v>
      </c>
      <c r="S443" s="18">
        <v>0.129</v>
      </c>
      <c r="T443" s="18">
        <v>5.5399999999999998E-2</v>
      </c>
      <c r="U443" s="18">
        <v>0.27200000000000002</v>
      </c>
      <c r="V443" s="18">
        <v>0.36899999999999999</v>
      </c>
      <c r="W443" s="18">
        <v>124.18300000000001</v>
      </c>
      <c r="X443" s="18">
        <v>4</v>
      </c>
      <c r="Y443" s="19" t="s">
        <v>4</v>
      </c>
    </row>
    <row r="444" spans="1:25" x14ac:dyDescent="0.3">
      <c r="A444" s="14" t="s">
        <v>1355</v>
      </c>
      <c r="B444" s="15" t="s">
        <v>1053</v>
      </c>
      <c r="C444" s="15" t="s">
        <v>1356</v>
      </c>
      <c r="D444" s="15" t="s">
        <v>1357</v>
      </c>
      <c r="E444" s="15" t="str">
        <f t="shared" si="29"/>
        <v>Low</v>
      </c>
      <c r="F444" s="15">
        <v>31</v>
      </c>
      <c r="G444" s="30">
        <f t="shared" si="30"/>
        <v>39.515500000000003</v>
      </c>
      <c r="H444" s="15">
        <v>237093</v>
      </c>
      <c r="I444" s="15" t="str">
        <f t="shared" si="31"/>
        <v>Clean</v>
      </c>
      <c r="J444" s="15" t="b">
        <v>0</v>
      </c>
      <c r="K444" s="15" t="str">
        <f t="shared" si="32"/>
        <v>Moderate</v>
      </c>
      <c r="L444" s="15">
        <v>0.48599999999999999</v>
      </c>
      <c r="M444" s="15" t="str">
        <f t="shared" si="33"/>
        <v>High Energy</v>
      </c>
      <c r="N444" s="15">
        <v>0.91300000000000003</v>
      </c>
      <c r="O444" s="15">
        <v>5</v>
      </c>
      <c r="P444" s="15">
        <v>-6.4160000000000004</v>
      </c>
      <c r="Q444" s="15">
        <v>1</v>
      </c>
      <c r="R444" s="15">
        <v>6.1600000000000002E-2</v>
      </c>
      <c r="S444" s="20" t="s">
        <v>1358</v>
      </c>
      <c r="T444" s="15">
        <v>0.28899999999999998</v>
      </c>
      <c r="U444" s="15">
        <v>0.22500000000000001</v>
      </c>
      <c r="V444" s="15">
        <v>0.33400000000000002</v>
      </c>
      <c r="W444" s="15">
        <v>136.07300000000001</v>
      </c>
      <c r="X444" s="15">
        <v>4</v>
      </c>
      <c r="Y444" s="16" t="s">
        <v>4</v>
      </c>
    </row>
    <row r="445" spans="1:25" x14ac:dyDescent="0.3">
      <c r="A445" s="17" t="s">
        <v>1359</v>
      </c>
      <c r="B445" s="18" t="s">
        <v>897</v>
      </c>
      <c r="C445" s="18" t="s">
        <v>898</v>
      </c>
      <c r="D445" s="18" t="s">
        <v>1360</v>
      </c>
      <c r="E445" s="18" t="str">
        <f t="shared" si="29"/>
        <v>Popular</v>
      </c>
      <c r="F445" s="18">
        <v>60</v>
      </c>
      <c r="G445" s="30">
        <f t="shared" si="30"/>
        <v>39.264333333333333</v>
      </c>
      <c r="H445" s="18">
        <v>235586</v>
      </c>
      <c r="I445" s="18" t="str">
        <f t="shared" si="31"/>
        <v>Clean</v>
      </c>
      <c r="J445" s="18" t="b">
        <v>0</v>
      </c>
      <c r="K445" s="18" t="str">
        <f t="shared" si="32"/>
        <v>Low</v>
      </c>
      <c r="L445" s="18">
        <v>0.39600000000000002</v>
      </c>
      <c r="M445" s="18" t="str">
        <f t="shared" si="33"/>
        <v>Low Energy</v>
      </c>
      <c r="N445" s="18">
        <v>0.19800000000000001</v>
      </c>
      <c r="O445" s="18">
        <v>2</v>
      </c>
      <c r="P445" s="18">
        <v>-9.0960000000000001</v>
      </c>
      <c r="Q445" s="18">
        <v>1</v>
      </c>
      <c r="R445" s="18">
        <v>3.1E-2</v>
      </c>
      <c r="S445" s="18">
        <v>0.91200000000000003</v>
      </c>
      <c r="T445" s="18">
        <v>0</v>
      </c>
      <c r="U445" s="18">
        <v>9.7199999999999995E-2</v>
      </c>
      <c r="V445" s="18">
        <v>0.19</v>
      </c>
      <c r="W445" s="18">
        <v>138.624</v>
      </c>
      <c r="X445" s="18">
        <v>3</v>
      </c>
      <c r="Y445" s="19" t="s">
        <v>4</v>
      </c>
    </row>
    <row r="446" spans="1:25" x14ac:dyDescent="0.3">
      <c r="A446" s="14" t="s">
        <v>1361</v>
      </c>
      <c r="B446" s="15" t="s">
        <v>692</v>
      </c>
      <c r="C446" s="15" t="s">
        <v>1362</v>
      </c>
      <c r="D446" s="15" t="s">
        <v>1363</v>
      </c>
      <c r="E446" s="15" t="str">
        <f t="shared" si="29"/>
        <v>Popular</v>
      </c>
      <c r="F446" s="15">
        <v>67</v>
      </c>
      <c r="G446" s="30">
        <f t="shared" si="30"/>
        <v>38.64</v>
      </c>
      <c r="H446" s="15">
        <v>231840</v>
      </c>
      <c r="I446" s="15" t="str">
        <f t="shared" si="31"/>
        <v>Clean</v>
      </c>
      <c r="J446" s="15" t="b">
        <v>0</v>
      </c>
      <c r="K446" s="15" t="str">
        <f t="shared" si="32"/>
        <v>Moderate</v>
      </c>
      <c r="L446" s="15">
        <v>0.57799999999999996</v>
      </c>
      <c r="M446" s="15" t="str">
        <f t="shared" si="33"/>
        <v>High Energy</v>
      </c>
      <c r="N446" s="15">
        <v>0.72699999999999998</v>
      </c>
      <c r="O446" s="15">
        <v>10</v>
      </c>
      <c r="P446" s="15">
        <v>-4.8719999999999999</v>
      </c>
      <c r="Q446" s="15">
        <v>1</v>
      </c>
      <c r="R446" s="15">
        <v>3.32E-2</v>
      </c>
      <c r="S446" s="15">
        <v>3.04E-2</v>
      </c>
      <c r="T446" s="20" t="s">
        <v>1364</v>
      </c>
      <c r="U446" s="15">
        <v>0.17199999999999999</v>
      </c>
      <c r="V446" s="15">
        <v>0.88500000000000001</v>
      </c>
      <c r="W446" s="15">
        <v>170.59299999999999</v>
      </c>
      <c r="X446" s="15">
        <v>4</v>
      </c>
      <c r="Y446" s="16" t="s">
        <v>4</v>
      </c>
    </row>
    <row r="447" spans="1:25" x14ac:dyDescent="0.3">
      <c r="A447" s="17" t="s">
        <v>1365</v>
      </c>
      <c r="B447" s="18" t="s">
        <v>1210</v>
      </c>
      <c r="C447" s="18" t="s">
        <v>1366</v>
      </c>
      <c r="D447" s="18" t="s">
        <v>1367</v>
      </c>
      <c r="E447" s="18" t="str">
        <f t="shared" si="29"/>
        <v>Low</v>
      </c>
      <c r="F447" s="18">
        <v>33</v>
      </c>
      <c r="G447" s="30">
        <f t="shared" si="30"/>
        <v>27.277666666666665</v>
      </c>
      <c r="H447" s="18">
        <v>163666</v>
      </c>
      <c r="I447" s="18" t="str">
        <f t="shared" si="31"/>
        <v>Clean</v>
      </c>
      <c r="J447" s="18" t="b">
        <v>0</v>
      </c>
      <c r="K447" s="18" t="str">
        <f t="shared" si="32"/>
        <v>Moderate</v>
      </c>
      <c r="L447" s="18">
        <v>0.68400000000000005</v>
      </c>
      <c r="M447" s="18" t="str">
        <f t="shared" si="33"/>
        <v>Medium Energy</v>
      </c>
      <c r="N447" s="18">
        <v>0.50900000000000001</v>
      </c>
      <c r="O447" s="18">
        <v>4</v>
      </c>
      <c r="P447" s="18">
        <v>-7.6079999999999997</v>
      </c>
      <c r="Q447" s="18">
        <v>1</v>
      </c>
      <c r="R447" s="18">
        <v>3.3399999999999999E-2</v>
      </c>
      <c r="S447" s="18">
        <v>0.57099999999999995</v>
      </c>
      <c r="T447" s="18">
        <v>0</v>
      </c>
      <c r="U447" s="18">
        <v>0.40200000000000002</v>
      </c>
      <c r="V447" s="18">
        <v>0.69</v>
      </c>
      <c r="W447" s="18">
        <v>132.297</v>
      </c>
      <c r="X447" s="18">
        <v>4</v>
      </c>
      <c r="Y447" s="19" t="s">
        <v>4</v>
      </c>
    </row>
    <row r="448" spans="1:25" x14ac:dyDescent="0.3">
      <c r="A448" s="14" t="s">
        <v>1368</v>
      </c>
      <c r="B448" s="15" t="s">
        <v>1369</v>
      </c>
      <c r="C448" s="15" t="s">
        <v>1370</v>
      </c>
      <c r="D448" s="15" t="s">
        <v>1371</v>
      </c>
      <c r="E448" s="15" t="str">
        <f t="shared" si="29"/>
        <v>Low</v>
      </c>
      <c r="F448" s="15">
        <v>32</v>
      </c>
      <c r="G448" s="30">
        <f t="shared" si="30"/>
        <v>20.337666666666667</v>
      </c>
      <c r="H448" s="15">
        <v>122026</v>
      </c>
      <c r="I448" s="15" t="str">
        <f t="shared" si="31"/>
        <v>Clean</v>
      </c>
      <c r="J448" s="15" t="b">
        <v>1</v>
      </c>
      <c r="K448" s="15" t="str">
        <f t="shared" si="32"/>
        <v>Moderate</v>
      </c>
      <c r="L448" s="15">
        <v>0.623</v>
      </c>
      <c r="M448" s="15" t="str">
        <f t="shared" si="33"/>
        <v>Medium Energy</v>
      </c>
      <c r="N448" s="15">
        <v>0.56699999999999995</v>
      </c>
      <c r="O448" s="15">
        <v>10</v>
      </c>
      <c r="P448" s="15">
        <v>-7.7789999999999999</v>
      </c>
      <c r="Q448" s="15">
        <v>1</v>
      </c>
      <c r="R448" s="15">
        <v>3.6999999999999998E-2</v>
      </c>
      <c r="S448" s="15">
        <v>0.83099999999999996</v>
      </c>
      <c r="T448" s="20" t="s">
        <v>1372</v>
      </c>
      <c r="U448" s="15">
        <v>0.104</v>
      </c>
      <c r="V448" s="15">
        <v>0.92900000000000005</v>
      </c>
      <c r="W448" s="15">
        <v>129.94900000000001</v>
      </c>
      <c r="X448" s="15">
        <v>4</v>
      </c>
      <c r="Y448" s="16" t="s">
        <v>4</v>
      </c>
    </row>
    <row r="449" spans="1:25" x14ac:dyDescent="0.3">
      <c r="A449" s="17" t="s">
        <v>1373</v>
      </c>
      <c r="B449" s="18" t="s">
        <v>1049</v>
      </c>
      <c r="C449" s="18" t="s">
        <v>1374</v>
      </c>
      <c r="D449" s="18" t="s">
        <v>1375</v>
      </c>
      <c r="E449" s="18" t="str">
        <f t="shared" si="29"/>
        <v>Low</v>
      </c>
      <c r="F449" s="18">
        <v>31</v>
      </c>
      <c r="G449" s="30">
        <f t="shared" si="30"/>
        <v>27.633166666666668</v>
      </c>
      <c r="H449" s="18">
        <v>165799</v>
      </c>
      <c r="I449" s="18" t="str">
        <f t="shared" si="31"/>
        <v>Clean</v>
      </c>
      <c r="J449" s="18" t="b">
        <v>0</v>
      </c>
      <c r="K449" s="18" t="str">
        <f t="shared" si="32"/>
        <v>Low</v>
      </c>
      <c r="L449" s="18">
        <v>0.22800000000000001</v>
      </c>
      <c r="M449" s="18" t="str">
        <f t="shared" si="33"/>
        <v>Medium Energy</v>
      </c>
      <c r="N449" s="18">
        <v>0.57399999999999995</v>
      </c>
      <c r="O449" s="18">
        <v>4</v>
      </c>
      <c r="P449" s="18">
        <v>-7.9589999999999996</v>
      </c>
      <c r="Q449" s="18">
        <v>0</v>
      </c>
      <c r="R449" s="18">
        <v>4.2099999999999999E-2</v>
      </c>
      <c r="S449" s="18">
        <v>0.51700000000000002</v>
      </c>
      <c r="T449" s="18">
        <v>1.48E-3</v>
      </c>
      <c r="U449" s="18">
        <v>0.128</v>
      </c>
      <c r="V449" s="18">
        <v>0.38900000000000001</v>
      </c>
      <c r="W449" s="18">
        <v>182.37899999999999</v>
      </c>
      <c r="X449" s="18">
        <v>4</v>
      </c>
      <c r="Y449" s="19" t="s">
        <v>4</v>
      </c>
    </row>
    <row r="450" spans="1:25" x14ac:dyDescent="0.3">
      <c r="A450" s="14" t="s">
        <v>1376</v>
      </c>
      <c r="B450" s="15" t="s">
        <v>1296</v>
      </c>
      <c r="C450" s="15" t="s">
        <v>294</v>
      </c>
      <c r="D450" s="15" t="s">
        <v>1377</v>
      </c>
      <c r="E450" s="15" t="str">
        <f t="shared" ref="E450:E500" si="34">IF( F450&gt;=80,"Hit",
IF(F450&gt;=60,"Popular",
IF( F450&gt;=40,"Average","Low")))</f>
        <v>Low</v>
      </c>
      <c r="F450" s="15">
        <v>0</v>
      </c>
      <c r="G450" s="30">
        <f t="shared" ref="G450:G500" si="35">H450/6000</f>
        <v>26.777666666666665</v>
      </c>
      <c r="H450" s="15">
        <v>160666</v>
      </c>
      <c r="I450" s="15" t="str">
        <f t="shared" ref="I450:I500" si="36">IF(E450=TRUE,"Explicit","Clean")</f>
        <v>Clean</v>
      </c>
      <c r="J450" s="15" t="b">
        <v>0</v>
      </c>
      <c r="K450" s="15" t="str">
        <f t="shared" ref="K450:K513" si="37">IF(L450&gt;=0.7,"Very Danceable",
IF( L450&gt;=0.4,"Moderate","Low"))</f>
        <v>Very Danceable</v>
      </c>
      <c r="L450" s="15">
        <v>0.80900000000000005</v>
      </c>
      <c r="M450" s="15" t="str">
        <f t="shared" ref="M450:M513" si="38">IF( N450&gt;=0.7,"High Energy",
IF( N450&gt;=0.4,"Medium Energy","Low Energy"))</f>
        <v>Low Energy</v>
      </c>
      <c r="N450" s="15">
        <v>0.313</v>
      </c>
      <c r="O450" s="15">
        <v>9</v>
      </c>
      <c r="P450" s="15">
        <v>-12.182</v>
      </c>
      <c r="Q450" s="15">
        <v>1</v>
      </c>
      <c r="R450" s="15">
        <v>4.2799999999999998E-2</v>
      </c>
      <c r="S450" s="15">
        <v>0.876</v>
      </c>
      <c r="T450" s="15">
        <v>0</v>
      </c>
      <c r="U450" s="15">
        <v>0.112</v>
      </c>
      <c r="V450" s="15">
        <v>0.35</v>
      </c>
      <c r="W450" s="15">
        <v>114.955</v>
      </c>
      <c r="X450" s="15">
        <v>4</v>
      </c>
      <c r="Y450" s="16" t="s">
        <v>4</v>
      </c>
    </row>
    <row r="451" spans="1:25" x14ac:dyDescent="0.3">
      <c r="A451" s="17" t="s">
        <v>1378</v>
      </c>
      <c r="B451" s="18" t="s">
        <v>749</v>
      </c>
      <c r="C451" s="18" t="s">
        <v>750</v>
      </c>
      <c r="D451" s="18" t="s">
        <v>1379</v>
      </c>
      <c r="E451" s="18" t="str">
        <f t="shared" si="34"/>
        <v>Low</v>
      </c>
      <c r="F451" s="18">
        <v>31</v>
      </c>
      <c r="G451" s="30">
        <f t="shared" si="35"/>
        <v>32.606666666666669</v>
      </c>
      <c r="H451" s="18">
        <v>195640</v>
      </c>
      <c r="I451" s="18" t="str">
        <f t="shared" si="36"/>
        <v>Clean</v>
      </c>
      <c r="J451" s="18" t="b">
        <v>0</v>
      </c>
      <c r="K451" s="18" t="str">
        <f t="shared" si="37"/>
        <v>Moderate</v>
      </c>
      <c r="L451" s="18">
        <v>0.48199999999999998</v>
      </c>
      <c r="M451" s="18" t="str">
        <f t="shared" si="38"/>
        <v>High Energy</v>
      </c>
      <c r="N451" s="18">
        <v>0.77200000000000002</v>
      </c>
      <c r="O451" s="18">
        <v>1</v>
      </c>
      <c r="P451" s="18">
        <v>-5.1280000000000001</v>
      </c>
      <c r="Q451" s="18">
        <v>1</v>
      </c>
      <c r="R451" s="18">
        <v>3.1800000000000002E-2</v>
      </c>
      <c r="S451" s="18">
        <v>2.6499999999999999E-2</v>
      </c>
      <c r="T451" s="18">
        <v>0</v>
      </c>
      <c r="U451" s="18">
        <v>0.26900000000000002</v>
      </c>
      <c r="V451" s="18">
        <v>0.58599999999999997</v>
      </c>
      <c r="W451" s="18">
        <v>129.91</v>
      </c>
      <c r="X451" s="18">
        <v>4</v>
      </c>
      <c r="Y451" s="19" t="s">
        <v>4</v>
      </c>
    </row>
    <row r="452" spans="1:25" x14ac:dyDescent="0.3">
      <c r="A452" s="14" t="s">
        <v>1380</v>
      </c>
      <c r="B452" s="15" t="s">
        <v>156</v>
      </c>
      <c r="C452" s="15" t="s">
        <v>1381</v>
      </c>
      <c r="D452" s="15" t="s">
        <v>1382</v>
      </c>
      <c r="E452" s="15" t="str">
        <f t="shared" si="34"/>
        <v>Average</v>
      </c>
      <c r="F452" s="15">
        <v>45</v>
      </c>
      <c r="G452" s="30">
        <f t="shared" si="35"/>
        <v>42.382666666666665</v>
      </c>
      <c r="H452" s="15">
        <v>254296</v>
      </c>
      <c r="I452" s="15" t="str">
        <f t="shared" si="36"/>
        <v>Clean</v>
      </c>
      <c r="J452" s="15" t="b">
        <v>0</v>
      </c>
      <c r="K452" s="15" t="str">
        <f t="shared" si="37"/>
        <v>Moderate</v>
      </c>
      <c r="L452" s="15">
        <v>0.42499999999999999</v>
      </c>
      <c r="M452" s="15" t="str">
        <f t="shared" si="38"/>
        <v>Low Energy</v>
      </c>
      <c r="N452" s="15">
        <v>0.249</v>
      </c>
      <c r="O452" s="15">
        <v>4</v>
      </c>
      <c r="P452" s="15">
        <v>-12.218999999999999</v>
      </c>
      <c r="Q452" s="15">
        <v>0</v>
      </c>
      <c r="R452" s="15">
        <v>3.5499999999999997E-2</v>
      </c>
      <c r="S452" s="15">
        <v>0.87</v>
      </c>
      <c r="T452" s="15">
        <v>1.75E-3</v>
      </c>
      <c r="U452" s="15">
        <v>0.124</v>
      </c>
      <c r="V452" s="15">
        <v>0.23499999999999999</v>
      </c>
      <c r="W452" s="15">
        <v>123.63200000000001</v>
      </c>
      <c r="X452" s="15">
        <v>4</v>
      </c>
      <c r="Y452" s="16" t="s">
        <v>4</v>
      </c>
    </row>
    <row r="453" spans="1:25" x14ac:dyDescent="0.3">
      <c r="A453" s="17" t="s">
        <v>1383</v>
      </c>
      <c r="B453" s="18" t="s">
        <v>1073</v>
      </c>
      <c r="C453" s="18" t="s">
        <v>1384</v>
      </c>
      <c r="D453" s="18" t="s">
        <v>1385</v>
      </c>
      <c r="E453" s="18" t="str">
        <f t="shared" si="34"/>
        <v>Average</v>
      </c>
      <c r="F453" s="18">
        <v>56</v>
      </c>
      <c r="G453" s="30">
        <f t="shared" si="35"/>
        <v>42.726833333333332</v>
      </c>
      <c r="H453" s="18">
        <v>256361</v>
      </c>
      <c r="I453" s="18" t="str">
        <f t="shared" si="36"/>
        <v>Clean</v>
      </c>
      <c r="J453" s="18" t="b">
        <v>0</v>
      </c>
      <c r="K453" s="18" t="str">
        <f t="shared" si="37"/>
        <v>Low</v>
      </c>
      <c r="L453" s="18">
        <v>0.29799999999999999</v>
      </c>
      <c r="M453" s="18" t="str">
        <f t="shared" si="38"/>
        <v>Low Energy</v>
      </c>
      <c r="N453" s="18">
        <v>4.3999999999999997E-2</v>
      </c>
      <c r="O453" s="18">
        <v>5</v>
      </c>
      <c r="P453" s="18">
        <v>-20.175999999999998</v>
      </c>
      <c r="Q453" s="18">
        <v>1</v>
      </c>
      <c r="R453" s="18">
        <v>3.5000000000000003E-2</v>
      </c>
      <c r="S453" s="18">
        <v>0.98299999999999998</v>
      </c>
      <c r="T453" s="18">
        <v>0.124</v>
      </c>
      <c r="U453" s="18">
        <v>0.10100000000000001</v>
      </c>
      <c r="V453" s="18">
        <v>0.115</v>
      </c>
      <c r="W453" s="18">
        <v>85.707999999999998</v>
      </c>
      <c r="X453" s="18">
        <v>4</v>
      </c>
      <c r="Y453" s="19" t="s">
        <v>4</v>
      </c>
    </row>
    <row r="454" spans="1:25" x14ac:dyDescent="0.3">
      <c r="A454" s="14" t="s">
        <v>1386</v>
      </c>
      <c r="B454" s="15" t="s">
        <v>772</v>
      </c>
      <c r="C454" s="15" t="s">
        <v>1387</v>
      </c>
      <c r="D454" s="15" t="s">
        <v>1388</v>
      </c>
      <c r="E454" s="15" t="str">
        <f t="shared" si="34"/>
        <v>Average</v>
      </c>
      <c r="F454" s="15">
        <v>45</v>
      </c>
      <c r="G454" s="30">
        <f t="shared" si="35"/>
        <v>49.544333333333334</v>
      </c>
      <c r="H454" s="15">
        <v>297266</v>
      </c>
      <c r="I454" s="15" t="str">
        <f t="shared" si="36"/>
        <v>Clean</v>
      </c>
      <c r="J454" s="15" t="b">
        <v>0</v>
      </c>
      <c r="K454" s="15" t="str">
        <f t="shared" si="37"/>
        <v>Moderate</v>
      </c>
      <c r="L454" s="15">
        <v>0.46800000000000003</v>
      </c>
      <c r="M454" s="15" t="str">
        <f t="shared" si="38"/>
        <v>Low Energy</v>
      </c>
      <c r="N454" s="15">
        <v>0.254</v>
      </c>
      <c r="O454" s="15">
        <v>6</v>
      </c>
      <c r="P454" s="15">
        <v>-11.839</v>
      </c>
      <c r="Q454" s="15">
        <v>1</v>
      </c>
      <c r="R454" s="15">
        <v>3.0300000000000001E-2</v>
      </c>
      <c r="S454" s="15">
        <v>0.93799999999999994</v>
      </c>
      <c r="T454" s="15">
        <v>4.4200000000000001E-4</v>
      </c>
      <c r="U454" s="15">
        <v>0.107</v>
      </c>
      <c r="V454" s="15">
        <v>0.24199999999999999</v>
      </c>
      <c r="W454" s="15">
        <v>135.86199999999999</v>
      </c>
      <c r="X454" s="15">
        <v>4</v>
      </c>
      <c r="Y454" s="16" t="s">
        <v>4</v>
      </c>
    </row>
    <row r="455" spans="1:25" x14ac:dyDescent="0.3">
      <c r="A455" s="17" t="s">
        <v>1389</v>
      </c>
      <c r="B455" s="18" t="s">
        <v>1390</v>
      </c>
      <c r="C455" s="18" t="s">
        <v>608</v>
      </c>
      <c r="D455" s="18" t="s">
        <v>608</v>
      </c>
      <c r="E455" s="18" t="str">
        <f t="shared" si="34"/>
        <v>Average</v>
      </c>
      <c r="F455" s="18">
        <v>42</v>
      </c>
      <c r="G455" s="30">
        <f t="shared" si="35"/>
        <v>28.354166666666668</v>
      </c>
      <c r="H455" s="18">
        <v>170125</v>
      </c>
      <c r="I455" s="18" t="str">
        <f t="shared" si="36"/>
        <v>Clean</v>
      </c>
      <c r="J455" s="18" t="b">
        <v>0</v>
      </c>
      <c r="K455" s="18" t="str">
        <f t="shared" si="37"/>
        <v>Moderate</v>
      </c>
      <c r="L455" s="18">
        <v>0.50700000000000001</v>
      </c>
      <c r="M455" s="18" t="str">
        <f t="shared" si="38"/>
        <v>Low Energy</v>
      </c>
      <c r="N455" s="18">
        <v>0.191</v>
      </c>
      <c r="O455" s="18">
        <v>5</v>
      </c>
      <c r="P455" s="18">
        <v>-16.341999999999999</v>
      </c>
      <c r="Q455" s="18">
        <v>1</v>
      </c>
      <c r="R455" s="18">
        <v>4.0800000000000003E-2</v>
      </c>
      <c r="S455" s="18">
        <v>0.99</v>
      </c>
      <c r="T455" s="18">
        <v>0.93300000000000005</v>
      </c>
      <c r="U455" s="18">
        <v>0.108</v>
      </c>
      <c r="V455" s="18">
        <v>0.221</v>
      </c>
      <c r="W455" s="18">
        <v>132.131</v>
      </c>
      <c r="X455" s="18">
        <v>4</v>
      </c>
      <c r="Y455" s="19" t="s">
        <v>4</v>
      </c>
    </row>
    <row r="456" spans="1:25" x14ac:dyDescent="0.3">
      <c r="A456" s="14" t="s">
        <v>1391</v>
      </c>
      <c r="B456" s="15" t="s">
        <v>411</v>
      </c>
      <c r="C456" s="15" t="s">
        <v>411</v>
      </c>
      <c r="D456" s="15" t="s">
        <v>542</v>
      </c>
      <c r="E456" s="15" t="str">
        <f t="shared" si="34"/>
        <v>Average</v>
      </c>
      <c r="F456" s="15">
        <v>46</v>
      </c>
      <c r="G456" s="30">
        <f t="shared" si="35"/>
        <v>45.504333333333335</v>
      </c>
      <c r="H456" s="15">
        <v>273026</v>
      </c>
      <c r="I456" s="15" t="str">
        <f t="shared" si="36"/>
        <v>Clean</v>
      </c>
      <c r="J456" s="15" t="b">
        <v>0</v>
      </c>
      <c r="K456" s="15" t="str">
        <f t="shared" si="37"/>
        <v>Moderate</v>
      </c>
      <c r="L456" s="15">
        <v>0.51500000000000001</v>
      </c>
      <c r="M456" s="15" t="str">
        <f t="shared" si="38"/>
        <v>Low Energy</v>
      </c>
      <c r="N456" s="15">
        <v>0.249</v>
      </c>
      <c r="O456" s="15">
        <v>8</v>
      </c>
      <c r="P456" s="15">
        <v>-10.108000000000001</v>
      </c>
      <c r="Q456" s="15">
        <v>0</v>
      </c>
      <c r="R456" s="15">
        <v>4.3999999999999997E-2</v>
      </c>
      <c r="S456" s="15">
        <v>0.79300000000000004</v>
      </c>
      <c r="T456" s="15">
        <v>0</v>
      </c>
      <c r="U456" s="15">
        <v>0.10199999999999999</v>
      </c>
      <c r="V456" s="15">
        <v>0.21299999999999999</v>
      </c>
      <c r="W456" s="15">
        <v>108.89</v>
      </c>
      <c r="X456" s="15">
        <v>5</v>
      </c>
      <c r="Y456" s="16" t="s">
        <v>4</v>
      </c>
    </row>
    <row r="457" spans="1:25" x14ac:dyDescent="0.3">
      <c r="A457" s="17" t="s">
        <v>1392</v>
      </c>
      <c r="B457" s="18" t="s">
        <v>402</v>
      </c>
      <c r="C457" s="18" t="s">
        <v>1393</v>
      </c>
      <c r="D457" s="18" t="s">
        <v>1394</v>
      </c>
      <c r="E457" s="18" t="str">
        <f t="shared" si="34"/>
        <v>Average</v>
      </c>
      <c r="F457" s="18">
        <v>50</v>
      </c>
      <c r="G457" s="30">
        <f t="shared" si="35"/>
        <v>30.471</v>
      </c>
      <c r="H457" s="18">
        <v>182826</v>
      </c>
      <c r="I457" s="18" t="str">
        <f t="shared" si="36"/>
        <v>Clean</v>
      </c>
      <c r="J457" s="18" t="b">
        <v>0</v>
      </c>
      <c r="K457" s="18" t="str">
        <f t="shared" si="37"/>
        <v>Moderate</v>
      </c>
      <c r="L457" s="18">
        <v>0.56499999999999995</v>
      </c>
      <c r="M457" s="18" t="str">
        <f t="shared" si="38"/>
        <v>High Energy</v>
      </c>
      <c r="N457" s="18">
        <v>0.89</v>
      </c>
      <c r="O457" s="18">
        <v>0</v>
      </c>
      <c r="P457" s="18">
        <v>-5.4809999999999999</v>
      </c>
      <c r="Q457" s="18">
        <v>1</v>
      </c>
      <c r="R457" s="18">
        <v>2.8500000000000001E-2</v>
      </c>
      <c r="S457" s="18">
        <v>5.3699999999999998E-3</v>
      </c>
      <c r="T457" s="21" t="s">
        <v>1395</v>
      </c>
      <c r="U457" s="18">
        <v>0.21299999999999999</v>
      </c>
      <c r="V457" s="18">
        <v>0.74399999999999999</v>
      </c>
      <c r="W457" s="18">
        <v>119.86199999999999</v>
      </c>
      <c r="X457" s="18">
        <v>4</v>
      </c>
      <c r="Y457" s="19" t="s">
        <v>4</v>
      </c>
    </row>
    <row r="458" spans="1:25" x14ac:dyDescent="0.3">
      <c r="A458" s="14" t="s">
        <v>1396</v>
      </c>
      <c r="B458" s="15" t="s">
        <v>1397</v>
      </c>
      <c r="C458" s="15" t="s">
        <v>1398</v>
      </c>
      <c r="D458" s="15" t="s">
        <v>1399</v>
      </c>
      <c r="E458" s="15" t="str">
        <f t="shared" si="34"/>
        <v>Average</v>
      </c>
      <c r="F458" s="15">
        <v>45</v>
      </c>
      <c r="G458" s="30">
        <f t="shared" si="35"/>
        <v>36.228833333333334</v>
      </c>
      <c r="H458" s="15">
        <v>217373</v>
      </c>
      <c r="I458" s="15" t="str">
        <f t="shared" si="36"/>
        <v>Clean</v>
      </c>
      <c r="J458" s="15" t="b">
        <v>0</v>
      </c>
      <c r="K458" s="15" t="str">
        <f t="shared" si="37"/>
        <v>Moderate</v>
      </c>
      <c r="L458" s="15">
        <v>0.63500000000000001</v>
      </c>
      <c r="M458" s="15" t="str">
        <f t="shared" si="38"/>
        <v>Medium Energy</v>
      </c>
      <c r="N458" s="15">
        <v>0.433</v>
      </c>
      <c r="O458" s="15">
        <v>11</v>
      </c>
      <c r="P458" s="15">
        <v>-7.6820000000000004</v>
      </c>
      <c r="Q458" s="15">
        <v>0</v>
      </c>
      <c r="R458" s="15">
        <v>2.9000000000000001E-2</v>
      </c>
      <c r="S458" s="15">
        <v>0.86</v>
      </c>
      <c r="T458" s="15">
        <v>0.43</v>
      </c>
      <c r="U458" s="15">
        <v>8.77E-2</v>
      </c>
      <c r="V458" s="15">
        <v>0.48899999999999999</v>
      </c>
      <c r="W458" s="15">
        <v>130.11099999999999</v>
      </c>
      <c r="X458" s="15">
        <v>4</v>
      </c>
      <c r="Y458" s="16" t="s">
        <v>4</v>
      </c>
    </row>
    <row r="459" spans="1:25" x14ac:dyDescent="0.3">
      <c r="A459" s="17" t="s">
        <v>1400</v>
      </c>
      <c r="B459" s="18" t="s">
        <v>1401</v>
      </c>
      <c r="C459" s="18" t="s">
        <v>1402</v>
      </c>
      <c r="D459" s="18" t="s">
        <v>1403</v>
      </c>
      <c r="E459" s="18" t="str">
        <f t="shared" si="34"/>
        <v>Average</v>
      </c>
      <c r="F459" s="18">
        <v>56</v>
      </c>
      <c r="G459" s="30">
        <f t="shared" si="35"/>
        <v>34.683666666666667</v>
      </c>
      <c r="H459" s="18">
        <v>208102</v>
      </c>
      <c r="I459" s="18" t="str">
        <f t="shared" si="36"/>
        <v>Clean</v>
      </c>
      <c r="J459" s="18" t="b">
        <v>0</v>
      </c>
      <c r="K459" s="18" t="str">
        <f t="shared" si="37"/>
        <v>Moderate</v>
      </c>
      <c r="L459" s="18">
        <v>0.65700000000000003</v>
      </c>
      <c r="M459" s="18" t="str">
        <f t="shared" si="38"/>
        <v>Low Energy</v>
      </c>
      <c r="N459" s="18">
        <v>0.192</v>
      </c>
      <c r="O459" s="18">
        <v>10</v>
      </c>
      <c r="P459" s="18">
        <v>-13.108000000000001</v>
      </c>
      <c r="Q459" s="18">
        <v>0</v>
      </c>
      <c r="R459" s="18">
        <v>3.6499999999999998E-2</v>
      </c>
      <c r="S459" s="18">
        <v>0.89400000000000002</v>
      </c>
      <c r="T459" s="18">
        <v>0</v>
      </c>
      <c r="U459" s="18">
        <v>0.157</v>
      </c>
      <c r="V459" s="18">
        <v>0.30499999999999999</v>
      </c>
      <c r="W459" s="18">
        <v>130.08699999999999</v>
      </c>
      <c r="X459" s="18">
        <v>4</v>
      </c>
      <c r="Y459" s="19" t="s">
        <v>4</v>
      </c>
    </row>
    <row r="460" spans="1:25" x14ac:dyDescent="0.3">
      <c r="A460" s="14" t="s">
        <v>1404</v>
      </c>
      <c r="B460" s="15" t="s">
        <v>406</v>
      </c>
      <c r="C460" s="15" t="s">
        <v>1405</v>
      </c>
      <c r="D460" s="15" t="s">
        <v>1406</v>
      </c>
      <c r="E460" s="15" t="str">
        <f t="shared" si="34"/>
        <v>Average</v>
      </c>
      <c r="F460" s="15">
        <v>43</v>
      </c>
      <c r="G460" s="30">
        <f t="shared" si="35"/>
        <v>40.186666666666667</v>
      </c>
      <c r="H460" s="15">
        <v>241120</v>
      </c>
      <c r="I460" s="15" t="str">
        <f t="shared" si="36"/>
        <v>Clean</v>
      </c>
      <c r="J460" s="15" t="b">
        <v>0</v>
      </c>
      <c r="K460" s="15" t="str">
        <f t="shared" si="37"/>
        <v>Moderate</v>
      </c>
      <c r="L460" s="15">
        <v>0.45900000000000002</v>
      </c>
      <c r="M460" s="15" t="str">
        <f t="shared" si="38"/>
        <v>Low Energy</v>
      </c>
      <c r="N460" s="15">
        <v>0.14000000000000001</v>
      </c>
      <c r="O460" s="15">
        <v>9</v>
      </c>
      <c r="P460" s="15">
        <v>-15.481999999999999</v>
      </c>
      <c r="Q460" s="15">
        <v>1</v>
      </c>
      <c r="R460" s="15">
        <v>3.6700000000000003E-2</v>
      </c>
      <c r="S460" s="15">
        <v>0.89500000000000002</v>
      </c>
      <c r="T460" s="15">
        <v>5.6499999999999996E-3</v>
      </c>
      <c r="U460" s="15">
        <v>0.13800000000000001</v>
      </c>
      <c r="V460" s="15">
        <v>0.14599999999999999</v>
      </c>
      <c r="W460" s="15">
        <v>128.904</v>
      </c>
      <c r="X460" s="15">
        <v>4</v>
      </c>
      <c r="Y460" s="16" t="s">
        <v>4</v>
      </c>
    </row>
    <row r="461" spans="1:25" x14ac:dyDescent="0.3">
      <c r="A461" s="17" t="s">
        <v>1407</v>
      </c>
      <c r="B461" s="18" t="s">
        <v>1408</v>
      </c>
      <c r="C461" s="18" t="s">
        <v>1409</v>
      </c>
      <c r="D461" s="18" t="s">
        <v>1409</v>
      </c>
      <c r="E461" s="18" t="str">
        <f t="shared" si="34"/>
        <v>Low</v>
      </c>
      <c r="F461" s="18">
        <v>39</v>
      </c>
      <c r="G461" s="30">
        <f t="shared" si="35"/>
        <v>39.166666666666664</v>
      </c>
      <c r="H461" s="18">
        <v>235000</v>
      </c>
      <c r="I461" s="18" t="str">
        <f t="shared" si="36"/>
        <v>Clean</v>
      </c>
      <c r="J461" s="18" t="b">
        <v>0</v>
      </c>
      <c r="K461" s="18" t="str">
        <f t="shared" si="37"/>
        <v>Low</v>
      </c>
      <c r="L461" s="18">
        <v>0.39100000000000001</v>
      </c>
      <c r="M461" s="18" t="str">
        <f t="shared" si="38"/>
        <v>Low Energy</v>
      </c>
      <c r="N461" s="18">
        <v>0.31</v>
      </c>
      <c r="O461" s="18">
        <v>7</v>
      </c>
      <c r="P461" s="18">
        <v>-8.7059999999999995</v>
      </c>
      <c r="Q461" s="18">
        <v>1</v>
      </c>
      <c r="R461" s="18">
        <v>2.6800000000000001E-2</v>
      </c>
      <c r="S461" s="18">
        <v>0.61399999999999999</v>
      </c>
      <c r="T461" s="21" t="s">
        <v>1410</v>
      </c>
      <c r="U461" s="18">
        <v>0.1</v>
      </c>
      <c r="V461" s="18">
        <v>0.29499999999999998</v>
      </c>
      <c r="W461" s="18">
        <v>83.46</v>
      </c>
      <c r="X461" s="18">
        <v>4</v>
      </c>
      <c r="Y461" s="19" t="s">
        <v>4</v>
      </c>
    </row>
    <row r="462" spans="1:25" x14ac:dyDescent="0.3">
      <c r="A462" s="14" t="s">
        <v>1411</v>
      </c>
      <c r="B462" s="15" t="s">
        <v>235</v>
      </c>
      <c r="C462" s="15" t="s">
        <v>1412</v>
      </c>
      <c r="D462" s="15" t="s">
        <v>1412</v>
      </c>
      <c r="E462" s="15" t="str">
        <f t="shared" si="34"/>
        <v>Average</v>
      </c>
      <c r="F462" s="15">
        <v>53</v>
      </c>
      <c r="G462" s="30">
        <f t="shared" si="35"/>
        <v>28.794333333333334</v>
      </c>
      <c r="H462" s="15">
        <v>172766</v>
      </c>
      <c r="I462" s="15" t="str">
        <f t="shared" si="36"/>
        <v>Clean</v>
      </c>
      <c r="J462" s="15" t="b">
        <v>0</v>
      </c>
      <c r="K462" s="15" t="str">
        <f t="shared" si="37"/>
        <v>Low</v>
      </c>
      <c r="L462" s="15">
        <v>0.371</v>
      </c>
      <c r="M462" s="15" t="str">
        <f t="shared" si="38"/>
        <v>Low Energy</v>
      </c>
      <c r="N462" s="15">
        <v>0.20799999999999999</v>
      </c>
      <c r="O462" s="15">
        <v>11</v>
      </c>
      <c r="P462" s="15">
        <v>-13.167</v>
      </c>
      <c r="Q462" s="15">
        <v>1</v>
      </c>
      <c r="R462" s="15">
        <v>4.6199999999999998E-2</v>
      </c>
      <c r="S462" s="15">
        <v>0.91200000000000003</v>
      </c>
      <c r="T462" s="15">
        <v>0</v>
      </c>
      <c r="U462" s="15">
        <v>0.105</v>
      </c>
      <c r="V462" s="15">
        <v>0.309</v>
      </c>
      <c r="W462" s="15">
        <v>199.80500000000001</v>
      </c>
      <c r="X462" s="15">
        <v>4</v>
      </c>
      <c r="Y462" s="16" t="s">
        <v>4</v>
      </c>
    </row>
    <row r="463" spans="1:25" x14ac:dyDescent="0.3">
      <c r="A463" s="17" t="s">
        <v>1413</v>
      </c>
      <c r="B463" s="18" t="s">
        <v>258</v>
      </c>
      <c r="C463" s="18" t="s">
        <v>428</v>
      </c>
      <c r="D463" s="18" t="s">
        <v>1414</v>
      </c>
      <c r="E463" s="18" t="str">
        <f t="shared" si="34"/>
        <v>Average</v>
      </c>
      <c r="F463" s="18">
        <v>45</v>
      </c>
      <c r="G463" s="30">
        <f t="shared" si="35"/>
        <v>39.975833333333334</v>
      </c>
      <c r="H463" s="18">
        <v>239855</v>
      </c>
      <c r="I463" s="18" t="str">
        <f t="shared" si="36"/>
        <v>Clean</v>
      </c>
      <c r="J463" s="18" t="b">
        <v>0</v>
      </c>
      <c r="K463" s="18" t="str">
        <f t="shared" si="37"/>
        <v>Moderate</v>
      </c>
      <c r="L463" s="18">
        <v>0.45300000000000001</v>
      </c>
      <c r="M463" s="18" t="str">
        <f t="shared" si="38"/>
        <v>Medium Energy</v>
      </c>
      <c r="N463" s="18">
        <v>0.46100000000000002</v>
      </c>
      <c r="O463" s="18">
        <v>0</v>
      </c>
      <c r="P463" s="18">
        <v>-9.3279999999999994</v>
      </c>
      <c r="Q463" s="18">
        <v>0</v>
      </c>
      <c r="R463" s="18">
        <v>3.2899999999999999E-2</v>
      </c>
      <c r="S463" s="18">
        <v>0.16500000000000001</v>
      </c>
      <c r="T463" s="18">
        <v>0</v>
      </c>
      <c r="U463" s="18">
        <v>0.109</v>
      </c>
      <c r="V463" s="18">
        <v>8.4400000000000003E-2</v>
      </c>
      <c r="W463" s="18">
        <v>106.84</v>
      </c>
      <c r="X463" s="18">
        <v>5</v>
      </c>
      <c r="Y463" s="19" t="s">
        <v>4</v>
      </c>
    </row>
    <row r="464" spans="1:25" x14ac:dyDescent="0.3">
      <c r="A464" s="14" t="s">
        <v>1415</v>
      </c>
      <c r="B464" s="15" t="s">
        <v>40</v>
      </c>
      <c r="C464" s="15" t="s">
        <v>1416</v>
      </c>
      <c r="D464" s="15" t="s">
        <v>42</v>
      </c>
      <c r="E464" s="15" t="str">
        <f t="shared" si="34"/>
        <v>Low</v>
      </c>
      <c r="F464" s="15">
        <v>32</v>
      </c>
      <c r="G464" s="30">
        <f t="shared" si="35"/>
        <v>40.799999999999997</v>
      </c>
      <c r="H464" s="15">
        <v>244800</v>
      </c>
      <c r="I464" s="15" t="str">
        <f t="shared" si="36"/>
        <v>Clean</v>
      </c>
      <c r="J464" s="15" t="b">
        <v>0</v>
      </c>
      <c r="K464" s="15" t="str">
        <f t="shared" si="37"/>
        <v>Moderate</v>
      </c>
      <c r="L464" s="15">
        <v>0.627</v>
      </c>
      <c r="M464" s="15" t="str">
        <f t="shared" si="38"/>
        <v>Low Energy</v>
      </c>
      <c r="N464" s="15">
        <v>0.36299999999999999</v>
      </c>
      <c r="O464" s="15">
        <v>8</v>
      </c>
      <c r="P464" s="15">
        <v>-8.1270000000000007</v>
      </c>
      <c r="Q464" s="15">
        <v>1</v>
      </c>
      <c r="R464" s="15">
        <v>2.9100000000000001E-2</v>
      </c>
      <c r="S464" s="15">
        <v>0.27900000000000003</v>
      </c>
      <c r="T464" s="15">
        <v>0</v>
      </c>
      <c r="U464" s="15">
        <v>9.2799999999999994E-2</v>
      </c>
      <c r="V464" s="15">
        <v>0.30099999999999999</v>
      </c>
      <c r="W464" s="15">
        <v>99.905000000000001</v>
      </c>
      <c r="X464" s="15">
        <v>4</v>
      </c>
      <c r="Y464" s="16" t="s">
        <v>4</v>
      </c>
    </row>
    <row r="465" spans="1:25" x14ac:dyDescent="0.3">
      <c r="A465" s="17" t="s">
        <v>1417</v>
      </c>
      <c r="B465" s="18" t="s">
        <v>235</v>
      </c>
      <c r="C465" s="18" t="s">
        <v>1418</v>
      </c>
      <c r="D465" s="18" t="s">
        <v>1418</v>
      </c>
      <c r="E465" s="18" t="str">
        <f t="shared" si="34"/>
        <v>Average</v>
      </c>
      <c r="F465" s="18">
        <v>53</v>
      </c>
      <c r="G465" s="30">
        <f t="shared" si="35"/>
        <v>23.547666666666668</v>
      </c>
      <c r="H465" s="18">
        <v>141286</v>
      </c>
      <c r="I465" s="18" t="str">
        <f t="shared" si="36"/>
        <v>Clean</v>
      </c>
      <c r="J465" s="18" t="b">
        <v>0</v>
      </c>
      <c r="K465" s="18" t="str">
        <f t="shared" si="37"/>
        <v>Very Danceable</v>
      </c>
      <c r="L465" s="18">
        <v>0.70599999999999996</v>
      </c>
      <c r="M465" s="18" t="str">
        <f t="shared" si="38"/>
        <v>Low Energy</v>
      </c>
      <c r="N465" s="18">
        <v>0.248</v>
      </c>
      <c r="O465" s="18">
        <v>11</v>
      </c>
      <c r="P465" s="18">
        <v>-12.724</v>
      </c>
      <c r="Q465" s="18">
        <v>1</v>
      </c>
      <c r="R465" s="18">
        <v>3.8600000000000002E-2</v>
      </c>
      <c r="S465" s="18">
        <v>0.879</v>
      </c>
      <c r="T465" s="18">
        <v>0</v>
      </c>
      <c r="U465" s="18">
        <v>0.10100000000000001</v>
      </c>
      <c r="V465" s="18">
        <v>0.40100000000000002</v>
      </c>
      <c r="W465" s="18">
        <v>125.515</v>
      </c>
      <c r="X465" s="18">
        <v>4</v>
      </c>
      <c r="Y465" s="19" t="s">
        <v>4</v>
      </c>
    </row>
    <row r="466" spans="1:25" x14ac:dyDescent="0.3">
      <c r="A466" s="14" t="s">
        <v>1419</v>
      </c>
      <c r="B466" s="15" t="s">
        <v>1401</v>
      </c>
      <c r="C466" s="15" t="s">
        <v>1420</v>
      </c>
      <c r="D466" s="15" t="s">
        <v>1420</v>
      </c>
      <c r="E466" s="15" t="str">
        <f t="shared" si="34"/>
        <v>Average</v>
      </c>
      <c r="F466" s="15">
        <v>54</v>
      </c>
      <c r="G466" s="30">
        <f t="shared" si="35"/>
        <v>24.252333333333333</v>
      </c>
      <c r="H466" s="15">
        <v>145514</v>
      </c>
      <c r="I466" s="15" t="str">
        <f t="shared" si="36"/>
        <v>Clean</v>
      </c>
      <c r="J466" s="15" t="b">
        <v>0</v>
      </c>
      <c r="K466" s="15" t="str">
        <f t="shared" si="37"/>
        <v>Very Danceable</v>
      </c>
      <c r="L466" s="15">
        <v>0.72399999999999998</v>
      </c>
      <c r="M466" s="15" t="str">
        <f t="shared" si="38"/>
        <v>Low Energy</v>
      </c>
      <c r="N466" s="15">
        <v>0.28000000000000003</v>
      </c>
      <c r="O466" s="15">
        <v>9</v>
      </c>
      <c r="P466" s="15">
        <v>-12.788</v>
      </c>
      <c r="Q466" s="15">
        <v>1</v>
      </c>
      <c r="R466" s="15">
        <v>3.0300000000000001E-2</v>
      </c>
      <c r="S466" s="15">
        <v>0.755</v>
      </c>
      <c r="T466" s="15">
        <v>0</v>
      </c>
      <c r="U466" s="15">
        <v>0.32600000000000001</v>
      </c>
      <c r="V466" s="15">
        <v>0.52700000000000002</v>
      </c>
      <c r="W466" s="15">
        <v>106.96599999999999</v>
      </c>
      <c r="X466" s="15">
        <v>4</v>
      </c>
      <c r="Y466" s="16" t="s">
        <v>4</v>
      </c>
    </row>
    <row r="467" spans="1:25" x14ac:dyDescent="0.3">
      <c r="A467" s="17" t="s">
        <v>1421</v>
      </c>
      <c r="B467" s="18" t="s">
        <v>380</v>
      </c>
      <c r="C467" s="18" t="s">
        <v>1422</v>
      </c>
      <c r="D467" s="18" t="s">
        <v>1422</v>
      </c>
      <c r="E467" s="18" t="str">
        <f t="shared" si="34"/>
        <v>Average</v>
      </c>
      <c r="F467" s="18">
        <v>51</v>
      </c>
      <c r="G467" s="30">
        <f t="shared" si="35"/>
        <v>37.231000000000002</v>
      </c>
      <c r="H467" s="18">
        <v>223386</v>
      </c>
      <c r="I467" s="18" t="str">
        <f t="shared" si="36"/>
        <v>Clean</v>
      </c>
      <c r="J467" s="18" t="b">
        <v>0</v>
      </c>
      <c r="K467" s="18" t="str">
        <f t="shared" si="37"/>
        <v>Moderate</v>
      </c>
      <c r="L467" s="18">
        <v>0.53500000000000003</v>
      </c>
      <c r="M467" s="18" t="str">
        <f t="shared" si="38"/>
        <v>Medium Energy</v>
      </c>
      <c r="N467" s="18">
        <v>0.44400000000000001</v>
      </c>
      <c r="O467" s="18">
        <v>6</v>
      </c>
      <c r="P467" s="18">
        <v>-11.212</v>
      </c>
      <c r="Q467" s="18">
        <v>1</v>
      </c>
      <c r="R467" s="18">
        <v>2.9100000000000001E-2</v>
      </c>
      <c r="S467" s="18">
        <v>0.66900000000000004</v>
      </c>
      <c r="T467" s="18">
        <v>2.7799999999999998E-2</v>
      </c>
      <c r="U467" s="18">
        <v>0.104</v>
      </c>
      <c r="V467" s="18">
        <v>0.217</v>
      </c>
      <c r="W467" s="18">
        <v>83.99</v>
      </c>
      <c r="X467" s="18">
        <v>4</v>
      </c>
      <c r="Y467" s="19" t="s">
        <v>4</v>
      </c>
    </row>
    <row r="468" spans="1:25" x14ac:dyDescent="0.3">
      <c r="A468" s="14" t="s">
        <v>1423</v>
      </c>
      <c r="B468" s="15" t="s">
        <v>854</v>
      </c>
      <c r="C468" s="15" t="s">
        <v>1424</v>
      </c>
      <c r="D468" s="15" t="s">
        <v>1424</v>
      </c>
      <c r="E468" s="15" t="str">
        <f t="shared" si="34"/>
        <v>Average</v>
      </c>
      <c r="F468" s="15">
        <v>55</v>
      </c>
      <c r="G468" s="30">
        <f t="shared" si="35"/>
        <v>22.757000000000001</v>
      </c>
      <c r="H468" s="15">
        <v>136542</v>
      </c>
      <c r="I468" s="15" t="str">
        <f t="shared" si="36"/>
        <v>Clean</v>
      </c>
      <c r="J468" s="15" t="b">
        <v>0</v>
      </c>
      <c r="K468" s="15" t="str">
        <f t="shared" si="37"/>
        <v>Moderate</v>
      </c>
      <c r="L468" s="15">
        <v>0.65800000000000003</v>
      </c>
      <c r="M468" s="15" t="str">
        <f t="shared" si="38"/>
        <v>Low Energy</v>
      </c>
      <c r="N468" s="15">
        <v>0.125</v>
      </c>
      <c r="O468" s="15">
        <v>8</v>
      </c>
      <c r="P468" s="15">
        <v>-15.901</v>
      </c>
      <c r="Q468" s="15">
        <v>1</v>
      </c>
      <c r="R468" s="15">
        <v>3.2300000000000002E-2</v>
      </c>
      <c r="S468" s="15">
        <v>0.877</v>
      </c>
      <c r="T468" s="15">
        <v>0</v>
      </c>
      <c r="U468" s="15">
        <v>0.28699999999999998</v>
      </c>
      <c r="V468" s="15">
        <v>0.50700000000000001</v>
      </c>
      <c r="W468" s="15">
        <v>106.68600000000001</v>
      </c>
      <c r="X468" s="15">
        <v>4</v>
      </c>
      <c r="Y468" s="16" t="s">
        <v>4</v>
      </c>
    </row>
    <row r="469" spans="1:25" x14ac:dyDescent="0.3">
      <c r="A469" s="17" t="s">
        <v>1425</v>
      </c>
      <c r="B469" s="18" t="s">
        <v>63</v>
      </c>
      <c r="C469" s="18" t="s">
        <v>1426</v>
      </c>
      <c r="D469" s="18" t="s">
        <v>1426</v>
      </c>
      <c r="E469" s="18" t="str">
        <f t="shared" si="34"/>
        <v>Low</v>
      </c>
      <c r="F469" s="18">
        <v>33</v>
      </c>
      <c r="G469" s="30">
        <f t="shared" si="35"/>
        <v>35.226333333333336</v>
      </c>
      <c r="H469" s="18">
        <v>211358</v>
      </c>
      <c r="I469" s="18" t="str">
        <f t="shared" si="36"/>
        <v>Clean</v>
      </c>
      <c r="J469" s="18" t="b">
        <v>0</v>
      </c>
      <c r="K469" s="18" t="str">
        <f t="shared" si="37"/>
        <v>Very Danceable</v>
      </c>
      <c r="L469" s="18">
        <v>0.71099999999999997</v>
      </c>
      <c r="M469" s="18" t="str">
        <f t="shared" si="38"/>
        <v>Low Energy</v>
      </c>
      <c r="N469" s="18">
        <v>0.16800000000000001</v>
      </c>
      <c r="O469" s="18">
        <v>0</v>
      </c>
      <c r="P469" s="18">
        <v>-16.504000000000001</v>
      </c>
      <c r="Q469" s="18">
        <v>1</v>
      </c>
      <c r="R469" s="18">
        <v>3.6700000000000003E-2</v>
      </c>
      <c r="S469" s="18">
        <v>0.86799999999999999</v>
      </c>
      <c r="T469" s="21" t="s">
        <v>1364</v>
      </c>
      <c r="U469" s="18">
        <v>0.114</v>
      </c>
      <c r="V469" s="18">
        <v>0.29899999999999999</v>
      </c>
      <c r="W469" s="18">
        <v>109.937</v>
      </c>
      <c r="X469" s="18">
        <v>4</v>
      </c>
      <c r="Y469" s="19" t="s">
        <v>4</v>
      </c>
    </row>
    <row r="470" spans="1:25" x14ac:dyDescent="0.3">
      <c r="A470" s="14" t="s">
        <v>1427</v>
      </c>
      <c r="B470" s="15" t="s">
        <v>195</v>
      </c>
      <c r="C470" s="15" t="s">
        <v>1428</v>
      </c>
      <c r="D470" s="15" t="s">
        <v>1429</v>
      </c>
      <c r="E470" s="15" t="str">
        <f t="shared" si="34"/>
        <v>Average</v>
      </c>
      <c r="F470" s="15">
        <v>55</v>
      </c>
      <c r="G470" s="30">
        <f t="shared" si="35"/>
        <v>12.742166666666666</v>
      </c>
      <c r="H470" s="15">
        <v>76453</v>
      </c>
      <c r="I470" s="15" t="str">
        <f t="shared" si="36"/>
        <v>Clean</v>
      </c>
      <c r="J470" s="15" t="b">
        <v>0</v>
      </c>
      <c r="K470" s="15" t="str">
        <f t="shared" si="37"/>
        <v>Moderate</v>
      </c>
      <c r="L470" s="15">
        <v>0.504</v>
      </c>
      <c r="M470" s="15" t="str">
        <f t="shared" si="38"/>
        <v>Medium Energy</v>
      </c>
      <c r="N470" s="15">
        <v>0.41499999999999998</v>
      </c>
      <c r="O470" s="15">
        <v>8</v>
      </c>
      <c r="P470" s="15">
        <v>-19.308</v>
      </c>
      <c r="Q470" s="15">
        <v>0</v>
      </c>
      <c r="R470" s="15">
        <v>0.121</v>
      </c>
      <c r="S470" s="15">
        <v>0.879</v>
      </c>
      <c r="T470" s="15">
        <v>0.49399999999999999</v>
      </c>
      <c r="U470" s="15">
        <v>0.35</v>
      </c>
      <c r="V470" s="15">
        <v>0.626</v>
      </c>
      <c r="W470" s="15">
        <v>114.26300000000001</v>
      </c>
      <c r="X470" s="15">
        <v>4</v>
      </c>
      <c r="Y470" s="16" t="s">
        <v>4</v>
      </c>
    </row>
    <row r="471" spans="1:25" x14ac:dyDescent="0.3">
      <c r="A471" s="17" t="s">
        <v>1430</v>
      </c>
      <c r="B471" s="18" t="s">
        <v>676</v>
      </c>
      <c r="C471" s="18" t="s">
        <v>1431</v>
      </c>
      <c r="D471" s="18" t="s">
        <v>1432</v>
      </c>
      <c r="E471" s="18" t="str">
        <f t="shared" si="34"/>
        <v>Average</v>
      </c>
      <c r="F471" s="18">
        <v>46</v>
      </c>
      <c r="G471" s="30">
        <f t="shared" si="35"/>
        <v>45.521000000000001</v>
      </c>
      <c r="H471" s="18">
        <v>273126</v>
      </c>
      <c r="I471" s="18" t="str">
        <f t="shared" si="36"/>
        <v>Clean</v>
      </c>
      <c r="J471" s="18" t="b">
        <v>0</v>
      </c>
      <c r="K471" s="18" t="str">
        <f t="shared" si="37"/>
        <v>Low</v>
      </c>
      <c r="L471" s="18">
        <v>0.309</v>
      </c>
      <c r="M471" s="18" t="str">
        <f t="shared" si="38"/>
        <v>Low Energy</v>
      </c>
      <c r="N471" s="18">
        <v>0.17499999999999999</v>
      </c>
      <c r="O471" s="18">
        <v>8</v>
      </c>
      <c r="P471" s="18">
        <v>-11.816000000000001</v>
      </c>
      <c r="Q471" s="18">
        <v>1</v>
      </c>
      <c r="R471" s="18">
        <v>3.3099999999999997E-2</v>
      </c>
      <c r="S471" s="18">
        <v>0.91300000000000003</v>
      </c>
      <c r="T471" s="21" t="s">
        <v>1433</v>
      </c>
      <c r="U471" s="18">
        <v>0.11799999999999999</v>
      </c>
      <c r="V471" s="18">
        <v>0.19800000000000001</v>
      </c>
      <c r="W471" s="18">
        <v>155.69</v>
      </c>
      <c r="X471" s="18">
        <v>3</v>
      </c>
      <c r="Y471" s="19" t="s">
        <v>4</v>
      </c>
    </row>
    <row r="472" spans="1:25" x14ac:dyDescent="0.3">
      <c r="A472" s="14" t="s">
        <v>1434</v>
      </c>
      <c r="B472" s="15" t="s">
        <v>1182</v>
      </c>
      <c r="C472" s="15" t="s">
        <v>1435</v>
      </c>
      <c r="D472" s="15" t="s">
        <v>1436</v>
      </c>
      <c r="E472" s="15" t="str">
        <f t="shared" si="34"/>
        <v>Low</v>
      </c>
      <c r="F472" s="15">
        <v>30</v>
      </c>
      <c r="G472" s="30">
        <f t="shared" si="35"/>
        <v>44.789333333333332</v>
      </c>
      <c r="H472" s="15">
        <v>268736</v>
      </c>
      <c r="I472" s="15" t="str">
        <f t="shared" si="36"/>
        <v>Clean</v>
      </c>
      <c r="J472" s="15" t="b">
        <v>0</v>
      </c>
      <c r="K472" s="15" t="str">
        <f t="shared" si="37"/>
        <v>Moderate</v>
      </c>
      <c r="L472" s="15">
        <v>0.628</v>
      </c>
      <c r="M472" s="15" t="str">
        <f t="shared" si="38"/>
        <v>Low Energy</v>
      </c>
      <c r="N472" s="15">
        <v>2.7E-2</v>
      </c>
      <c r="O472" s="15">
        <v>11</v>
      </c>
      <c r="P472" s="15">
        <v>-13.64</v>
      </c>
      <c r="Q472" s="15">
        <v>0</v>
      </c>
      <c r="R472" s="15">
        <v>4.8500000000000001E-2</v>
      </c>
      <c r="S472" s="15">
        <v>0.94399999999999995</v>
      </c>
      <c r="T472" s="15">
        <v>5.9999999999999995E-4</v>
      </c>
      <c r="U472" s="15">
        <v>9.0899999999999995E-2</v>
      </c>
      <c r="V472" s="15">
        <v>0.20300000000000001</v>
      </c>
      <c r="W472" s="15">
        <v>122.00700000000001</v>
      </c>
      <c r="X472" s="15">
        <v>4</v>
      </c>
      <c r="Y472" s="16" t="s">
        <v>4</v>
      </c>
    </row>
    <row r="473" spans="1:25" x14ac:dyDescent="0.3">
      <c r="A473" s="17" t="s">
        <v>1437</v>
      </c>
      <c r="B473" s="18" t="s">
        <v>258</v>
      </c>
      <c r="C473" s="18" t="s">
        <v>1438</v>
      </c>
      <c r="D473" s="18" t="s">
        <v>1438</v>
      </c>
      <c r="E473" s="18" t="str">
        <f t="shared" si="34"/>
        <v>Average</v>
      </c>
      <c r="F473" s="18">
        <v>46</v>
      </c>
      <c r="G473" s="30">
        <f t="shared" si="35"/>
        <v>34.276333333333334</v>
      </c>
      <c r="H473" s="18">
        <v>205658</v>
      </c>
      <c r="I473" s="18" t="str">
        <f t="shared" si="36"/>
        <v>Clean</v>
      </c>
      <c r="J473" s="18" t="b">
        <v>0</v>
      </c>
      <c r="K473" s="18" t="str">
        <f t="shared" si="37"/>
        <v>Moderate</v>
      </c>
      <c r="L473" s="18">
        <v>0.49</v>
      </c>
      <c r="M473" s="18" t="str">
        <f t="shared" si="38"/>
        <v>Medium Energy</v>
      </c>
      <c r="N473" s="18">
        <v>0.67400000000000004</v>
      </c>
      <c r="O473" s="18">
        <v>1</v>
      </c>
      <c r="P473" s="18">
        <v>-7.2759999999999998</v>
      </c>
      <c r="Q473" s="18">
        <v>1</v>
      </c>
      <c r="R473" s="18">
        <v>3.2199999999999999E-2</v>
      </c>
      <c r="S473" s="18">
        <v>0.19</v>
      </c>
      <c r="T473" s="18">
        <v>1.4300000000000001E-4</v>
      </c>
      <c r="U473" s="18">
        <v>6.3399999999999998E-2</v>
      </c>
      <c r="V473" s="18">
        <v>0.28799999999999998</v>
      </c>
      <c r="W473" s="18">
        <v>122.807</v>
      </c>
      <c r="X473" s="18">
        <v>4</v>
      </c>
      <c r="Y473" s="19" t="s">
        <v>4</v>
      </c>
    </row>
    <row r="474" spans="1:25" x14ac:dyDescent="0.3">
      <c r="A474" s="14" t="s">
        <v>1439</v>
      </c>
      <c r="B474" s="15" t="s">
        <v>1440</v>
      </c>
      <c r="C474" s="15" t="s">
        <v>1441</v>
      </c>
      <c r="D474" s="15" t="s">
        <v>1442</v>
      </c>
      <c r="E474" s="15" t="str">
        <f t="shared" si="34"/>
        <v>Popular</v>
      </c>
      <c r="F474" s="15">
        <v>60</v>
      </c>
      <c r="G474" s="30">
        <f t="shared" si="35"/>
        <v>42.78</v>
      </c>
      <c r="H474" s="15">
        <v>256680</v>
      </c>
      <c r="I474" s="15" t="str">
        <f t="shared" si="36"/>
        <v>Clean</v>
      </c>
      <c r="J474" s="15" t="b">
        <v>0</v>
      </c>
      <c r="K474" s="15" t="str">
        <f t="shared" si="37"/>
        <v>Low</v>
      </c>
      <c r="L474" s="15">
        <v>0.316</v>
      </c>
      <c r="M474" s="15" t="str">
        <f t="shared" si="38"/>
        <v>Medium Energy</v>
      </c>
      <c r="N474" s="15">
        <v>0.41299999999999998</v>
      </c>
      <c r="O474" s="15">
        <v>11</v>
      </c>
      <c r="P474" s="15">
        <v>-12.215999999999999</v>
      </c>
      <c r="Q474" s="15">
        <v>1</v>
      </c>
      <c r="R474" s="15">
        <v>3.3399999999999999E-2</v>
      </c>
      <c r="S474" s="15">
        <v>0.85599999999999998</v>
      </c>
      <c r="T474" s="15">
        <v>2.4499999999999999E-3</v>
      </c>
      <c r="U474" s="15">
        <v>0.14299999999999999</v>
      </c>
      <c r="V474" s="15">
        <v>0.245</v>
      </c>
      <c r="W474" s="15">
        <v>155.69</v>
      </c>
      <c r="X474" s="15">
        <v>4</v>
      </c>
      <c r="Y474" s="16" t="s">
        <v>4</v>
      </c>
    </row>
    <row r="475" spans="1:25" x14ac:dyDescent="0.3">
      <c r="A475" s="17" t="s">
        <v>1443</v>
      </c>
      <c r="B475" s="18" t="s">
        <v>258</v>
      </c>
      <c r="C475" s="18" t="s">
        <v>324</v>
      </c>
      <c r="D475" s="18" t="s">
        <v>1444</v>
      </c>
      <c r="E475" s="18" t="str">
        <f t="shared" si="34"/>
        <v>Average</v>
      </c>
      <c r="F475" s="18">
        <v>51</v>
      </c>
      <c r="G475" s="30">
        <f t="shared" si="35"/>
        <v>44.231000000000002</v>
      </c>
      <c r="H475" s="18">
        <v>265386</v>
      </c>
      <c r="I475" s="18" t="str">
        <f t="shared" si="36"/>
        <v>Clean</v>
      </c>
      <c r="J475" s="18" t="b">
        <v>0</v>
      </c>
      <c r="K475" s="18" t="str">
        <f t="shared" si="37"/>
        <v>Moderate</v>
      </c>
      <c r="L475" s="18">
        <v>0.47</v>
      </c>
      <c r="M475" s="18" t="str">
        <f t="shared" si="38"/>
        <v>Low Energy</v>
      </c>
      <c r="N475" s="18">
        <v>0.27100000000000002</v>
      </c>
      <c r="O475" s="18">
        <v>6</v>
      </c>
      <c r="P475" s="18">
        <v>-7.6360000000000001</v>
      </c>
      <c r="Q475" s="18">
        <v>1</v>
      </c>
      <c r="R475" s="18">
        <v>3.4200000000000001E-2</v>
      </c>
      <c r="S475" s="18">
        <v>0.79900000000000004</v>
      </c>
      <c r="T475" s="18">
        <v>0</v>
      </c>
      <c r="U475" s="18">
        <v>0.11899999999999999</v>
      </c>
      <c r="V475" s="18">
        <v>9.4299999999999995E-2</v>
      </c>
      <c r="W475" s="18">
        <v>145.90199999999999</v>
      </c>
      <c r="X475" s="18">
        <v>4</v>
      </c>
      <c r="Y475" s="19" t="s">
        <v>4</v>
      </c>
    </row>
    <row r="476" spans="1:25" x14ac:dyDescent="0.3">
      <c r="A476" s="14" t="s">
        <v>1445</v>
      </c>
      <c r="B476" s="15" t="s">
        <v>676</v>
      </c>
      <c r="C476" s="15" t="s">
        <v>1446</v>
      </c>
      <c r="D476" s="15" t="s">
        <v>1447</v>
      </c>
      <c r="E476" s="15" t="str">
        <f t="shared" si="34"/>
        <v>Average</v>
      </c>
      <c r="F476" s="15">
        <v>47</v>
      </c>
      <c r="G476" s="30">
        <f t="shared" si="35"/>
        <v>36.551000000000002</v>
      </c>
      <c r="H476" s="15">
        <v>219306</v>
      </c>
      <c r="I476" s="15" t="str">
        <f t="shared" si="36"/>
        <v>Clean</v>
      </c>
      <c r="J476" s="15" t="b">
        <v>0</v>
      </c>
      <c r="K476" s="15" t="str">
        <f t="shared" si="37"/>
        <v>Moderate</v>
      </c>
      <c r="L476" s="15">
        <v>0.51500000000000001</v>
      </c>
      <c r="M476" s="15" t="str">
        <f t="shared" si="38"/>
        <v>Low Energy</v>
      </c>
      <c r="N476" s="15">
        <v>0.317</v>
      </c>
      <c r="O476" s="15">
        <v>9</v>
      </c>
      <c r="P476" s="15">
        <v>-10.286</v>
      </c>
      <c r="Q476" s="15">
        <v>1</v>
      </c>
      <c r="R476" s="15">
        <v>2.8299999999999999E-2</v>
      </c>
      <c r="S476" s="15">
        <v>0.81599999999999995</v>
      </c>
      <c r="T476" s="15">
        <v>0</v>
      </c>
      <c r="U476" s="15">
        <v>9.7299999999999998E-2</v>
      </c>
      <c r="V476" s="15">
        <v>0.51200000000000001</v>
      </c>
      <c r="W476" s="15">
        <v>79.91</v>
      </c>
      <c r="X476" s="15">
        <v>4</v>
      </c>
      <c r="Y476" s="16" t="s">
        <v>4</v>
      </c>
    </row>
    <row r="477" spans="1:25" x14ac:dyDescent="0.3">
      <c r="A477" s="17" t="s">
        <v>1448</v>
      </c>
      <c r="B477" s="18" t="s">
        <v>251</v>
      </c>
      <c r="C477" s="18" t="s">
        <v>1449</v>
      </c>
      <c r="D477" s="18" t="s">
        <v>1449</v>
      </c>
      <c r="E477" s="18" t="str">
        <f t="shared" si="34"/>
        <v>Popular</v>
      </c>
      <c r="F477" s="18">
        <v>60</v>
      </c>
      <c r="G477" s="30">
        <f t="shared" si="35"/>
        <v>23.7</v>
      </c>
      <c r="H477" s="18">
        <v>142200</v>
      </c>
      <c r="I477" s="18" t="str">
        <f t="shared" si="36"/>
        <v>Clean</v>
      </c>
      <c r="J477" s="18" t="b">
        <v>0</v>
      </c>
      <c r="K477" s="18" t="str">
        <f t="shared" si="37"/>
        <v>Moderate</v>
      </c>
      <c r="L477" s="18">
        <v>0.49299999999999999</v>
      </c>
      <c r="M477" s="18" t="str">
        <f t="shared" si="38"/>
        <v>Medium Energy</v>
      </c>
      <c r="N477" s="18">
        <v>0.435</v>
      </c>
      <c r="O477" s="18">
        <v>7</v>
      </c>
      <c r="P477" s="18">
        <v>-12.334</v>
      </c>
      <c r="Q477" s="18">
        <v>1</v>
      </c>
      <c r="R477" s="18">
        <v>4.2299999999999997E-2</v>
      </c>
      <c r="S477" s="18">
        <v>0.65600000000000003</v>
      </c>
      <c r="T477" s="18">
        <v>3.2699999999999998E-4</v>
      </c>
      <c r="U477" s="18">
        <v>0.11799999999999999</v>
      </c>
      <c r="V477" s="18">
        <v>0.48499999999999999</v>
      </c>
      <c r="W477" s="18">
        <v>87.951999999999998</v>
      </c>
      <c r="X477" s="18">
        <v>4</v>
      </c>
      <c r="Y477" s="19" t="s">
        <v>4</v>
      </c>
    </row>
    <row r="478" spans="1:25" x14ac:dyDescent="0.3">
      <c r="A478" s="14" t="s">
        <v>1450</v>
      </c>
      <c r="B478" s="15" t="s">
        <v>411</v>
      </c>
      <c r="C478" s="15" t="s">
        <v>416</v>
      </c>
      <c r="D478" s="15" t="s">
        <v>1451</v>
      </c>
      <c r="E478" s="15" t="str">
        <f t="shared" si="34"/>
        <v>Average</v>
      </c>
      <c r="F478" s="15">
        <v>51</v>
      </c>
      <c r="G478" s="30">
        <f t="shared" si="35"/>
        <v>36.468833333333336</v>
      </c>
      <c r="H478" s="15">
        <v>218813</v>
      </c>
      <c r="I478" s="15" t="str">
        <f t="shared" si="36"/>
        <v>Clean</v>
      </c>
      <c r="J478" s="15" t="b">
        <v>0</v>
      </c>
      <c r="K478" s="15" t="str">
        <f t="shared" si="37"/>
        <v>Moderate</v>
      </c>
      <c r="L478" s="15">
        <v>0.58899999999999997</v>
      </c>
      <c r="M478" s="15" t="str">
        <f t="shared" si="38"/>
        <v>High Energy</v>
      </c>
      <c r="N478" s="15">
        <v>0.80900000000000005</v>
      </c>
      <c r="O478" s="15">
        <v>7</v>
      </c>
      <c r="P478" s="15">
        <v>-5.6</v>
      </c>
      <c r="Q478" s="15">
        <v>1</v>
      </c>
      <c r="R478" s="15">
        <v>2.8299999999999999E-2</v>
      </c>
      <c r="S478" s="15">
        <v>4.7899999999999998E-2</v>
      </c>
      <c r="T478" s="15">
        <v>0</v>
      </c>
      <c r="U478" s="15">
        <v>0.11600000000000001</v>
      </c>
      <c r="V478" s="15">
        <v>0.628</v>
      </c>
      <c r="W478" s="15">
        <v>87.013000000000005</v>
      </c>
      <c r="X478" s="15">
        <v>4</v>
      </c>
      <c r="Y478" s="16" t="s">
        <v>4</v>
      </c>
    </row>
    <row r="479" spans="1:25" x14ac:dyDescent="0.3">
      <c r="A479" s="17" t="s">
        <v>1452</v>
      </c>
      <c r="B479" s="18" t="s">
        <v>1453</v>
      </c>
      <c r="C479" s="18" t="s">
        <v>72</v>
      </c>
      <c r="D479" s="18" t="s">
        <v>1454</v>
      </c>
      <c r="E479" s="18" t="str">
        <f t="shared" si="34"/>
        <v>Popular</v>
      </c>
      <c r="F479" s="18">
        <v>60</v>
      </c>
      <c r="G479" s="30">
        <f t="shared" si="35"/>
        <v>37.041666666666664</v>
      </c>
      <c r="H479" s="18">
        <v>222250</v>
      </c>
      <c r="I479" s="18" t="str">
        <f t="shared" si="36"/>
        <v>Clean</v>
      </c>
      <c r="J479" s="18" t="b">
        <v>0</v>
      </c>
      <c r="K479" s="18" t="str">
        <f t="shared" si="37"/>
        <v>Low</v>
      </c>
      <c r="L479" s="18">
        <v>0.313</v>
      </c>
      <c r="M479" s="18" t="str">
        <f t="shared" si="38"/>
        <v>Low Energy</v>
      </c>
      <c r="N479" s="18">
        <v>0.32100000000000001</v>
      </c>
      <c r="O479" s="18">
        <v>8</v>
      </c>
      <c r="P479" s="18">
        <v>-8.7129999999999992</v>
      </c>
      <c r="Q479" s="18">
        <v>1</v>
      </c>
      <c r="R479" s="18">
        <v>3.5200000000000002E-2</v>
      </c>
      <c r="S479" s="18">
        <v>0.746</v>
      </c>
      <c r="T479" s="18">
        <v>0</v>
      </c>
      <c r="U479" s="18">
        <v>9.4799999999999995E-2</v>
      </c>
      <c r="V479" s="18">
        <v>0.24299999999999999</v>
      </c>
      <c r="W479" s="18">
        <v>53.844999999999999</v>
      </c>
      <c r="X479" s="18">
        <v>4</v>
      </c>
      <c r="Y479" s="19" t="s">
        <v>4</v>
      </c>
    </row>
    <row r="480" spans="1:25" x14ac:dyDescent="0.3">
      <c r="A480" s="14" t="s">
        <v>1455</v>
      </c>
      <c r="B480" s="15" t="s">
        <v>1456</v>
      </c>
      <c r="C480" s="15" t="s">
        <v>1456</v>
      </c>
      <c r="D480" s="15" t="s">
        <v>1457</v>
      </c>
      <c r="E480" s="15" t="str">
        <f t="shared" si="34"/>
        <v>Average</v>
      </c>
      <c r="F480" s="15">
        <v>52</v>
      </c>
      <c r="G480" s="30">
        <f t="shared" si="35"/>
        <v>19.626666666666665</v>
      </c>
      <c r="H480" s="15">
        <v>117760</v>
      </c>
      <c r="I480" s="15" t="str">
        <f t="shared" si="36"/>
        <v>Clean</v>
      </c>
      <c r="J480" s="15" t="b">
        <v>0</v>
      </c>
      <c r="K480" s="15" t="str">
        <f t="shared" si="37"/>
        <v>Low</v>
      </c>
      <c r="L480" s="15">
        <v>0.30199999999999999</v>
      </c>
      <c r="M480" s="15" t="str">
        <f t="shared" si="38"/>
        <v>Low Energy</v>
      </c>
      <c r="N480" s="15">
        <v>7.8299999999999995E-2</v>
      </c>
      <c r="O480" s="15">
        <v>2</v>
      </c>
      <c r="P480" s="15">
        <v>-14.968</v>
      </c>
      <c r="Q480" s="15">
        <v>1</v>
      </c>
      <c r="R480" s="15">
        <v>3.2500000000000001E-2</v>
      </c>
      <c r="S480" s="15">
        <v>0.95599999999999996</v>
      </c>
      <c r="T480" s="20" t="s">
        <v>1458</v>
      </c>
      <c r="U480" s="15">
        <v>0.12</v>
      </c>
      <c r="V480" s="15">
        <v>0.23100000000000001</v>
      </c>
      <c r="W480" s="15">
        <v>140.48500000000001</v>
      </c>
      <c r="X480" s="15">
        <v>5</v>
      </c>
      <c r="Y480" s="16" t="s">
        <v>4</v>
      </c>
    </row>
    <row r="481" spans="1:25" x14ac:dyDescent="0.3">
      <c r="A481" s="17" t="s">
        <v>1459</v>
      </c>
      <c r="B481" s="18" t="s">
        <v>1460</v>
      </c>
      <c r="C481" s="18" t="s">
        <v>1461</v>
      </c>
      <c r="D481" s="18" t="s">
        <v>1462</v>
      </c>
      <c r="E481" s="18" t="str">
        <f t="shared" si="34"/>
        <v>Average</v>
      </c>
      <c r="F481" s="18">
        <v>54</v>
      </c>
      <c r="G481" s="30">
        <f t="shared" si="35"/>
        <v>33.466666666666669</v>
      </c>
      <c r="H481" s="18">
        <v>200800</v>
      </c>
      <c r="I481" s="18" t="str">
        <f t="shared" si="36"/>
        <v>Clean</v>
      </c>
      <c r="J481" s="18" t="b">
        <v>0</v>
      </c>
      <c r="K481" s="18" t="str">
        <f t="shared" si="37"/>
        <v>Moderate</v>
      </c>
      <c r="L481" s="18">
        <v>0.64300000000000002</v>
      </c>
      <c r="M481" s="18" t="str">
        <f t="shared" si="38"/>
        <v>Medium Energy</v>
      </c>
      <c r="N481" s="18">
        <v>0.436</v>
      </c>
      <c r="O481" s="18">
        <v>1</v>
      </c>
      <c r="P481" s="18">
        <v>-12.244999999999999</v>
      </c>
      <c r="Q481" s="18">
        <v>1</v>
      </c>
      <c r="R481" s="18">
        <v>2.7300000000000001E-2</v>
      </c>
      <c r="S481" s="18">
        <v>0.72399999999999998</v>
      </c>
      <c r="T481" s="18">
        <v>0.45900000000000002</v>
      </c>
      <c r="U481" s="18">
        <v>0.11</v>
      </c>
      <c r="V481" s="18">
        <v>0.42199999999999999</v>
      </c>
      <c r="W481" s="18">
        <v>91.484999999999999</v>
      </c>
      <c r="X481" s="18">
        <v>4</v>
      </c>
      <c r="Y481" s="19" t="s">
        <v>4</v>
      </c>
    </row>
    <row r="482" spans="1:25" x14ac:dyDescent="0.3">
      <c r="A482" s="14" t="s">
        <v>1463</v>
      </c>
      <c r="B482" s="15" t="s">
        <v>285</v>
      </c>
      <c r="C482" s="15" t="s">
        <v>647</v>
      </c>
      <c r="D482" s="15" t="s">
        <v>1464</v>
      </c>
      <c r="E482" s="15" t="str">
        <f t="shared" si="34"/>
        <v>Average</v>
      </c>
      <c r="F482" s="15">
        <v>52</v>
      </c>
      <c r="G482" s="30">
        <f t="shared" si="35"/>
        <v>30.842166666666667</v>
      </c>
      <c r="H482" s="15">
        <v>185053</v>
      </c>
      <c r="I482" s="15" t="str">
        <f t="shared" si="36"/>
        <v>Clean</v>
      </c>
      <c r="J482" s="15" t="b">
        <v>0</v>
      </c>
      <c r="K482" s="15" t="str">
        <f t="shared" si="37"/>
        <v>Moderate</v>
      </c>
      <c r="L482" s="15">
        <v>0.48199999999999998</v>
      </c>
      <c r="M482" s="15" t="str">
        <f t="shared" si="38"/>
        <v>Low Energy</v>
      </c>
      <c r="N482" s="15">
        <v>0.17799999999999999</v>
      </c>
      <c r="O482" s="15">
        <v>2</v>
      </c>
      <c r="P482" s="15">
        <v>-11.141</v>
      </c>
      <c r="Q482" s="15">
        <v>0</v>
      </c>
      <c r="R482" s="15">
        <v>2.92E-2</v>
      </c>
      <c r="S482" s="15">
        <v>0.84299999999999997</v>
      </c>
      <c r="T482" s="20" t="s">
        <v>1465</v>
      </c>
      <c r="U482" s="15">
        <v>0.15</v>
      </c>
      <c r="V482" s="15">
        <v>0.29799999999999999</v>
      </c>
      <c r="W482" s="15">
        <v>110.128</v>
      </c>
      <c r="X482" s="15">
        <v>4</v>
      </c>
      <c r="Y482" s="16" t="s">
        <v>4</v>
      </c>
    </row>
    <row r="483" spans="1:25" x14ac:dyDescent="0.3">
      <c r="A483" s="17" t="s">
        <v>1466</v>
      </c>
      <c r="B483" s="18" t="s">
        <v>129</v>
      </c>
      <c r="C483" s="18" t="s">
        <v>265</v>
      </c>
      <c r="D483" s="18" t="s">
        <v>1467</v>
      </c>
      <c r="E483" s="18" t="str">
        <f t="shared" si="34"/>
        <v>Average</v>
      </c>
      <c r="F483" s="18">
        <v>51</v>
      </c>
      <c r="G483" s="30">
        <f t="shared" si="35"/>
        <v>10.068833333333334</v>
      </c>
      <c r="H483" s="18">
        <v>60413</v>
      </c>
      <c r="I483" s="18" t="str">
        <f t="shared" si="36"/>
        <v>Clean</v>
      </c>
      <c r="J483" s="18" t="b">
        <v>0</v>
      </c>
      <c r="K483" s="18" t="str">
        <f t="shared" si="37"/>
        <v>Moderate</v>
      </c>
      <c r="L483" s="18">
        <v>0.53900000000000003</v>
      </c>
      <c r="M483" s="18" t="str">
        <f t="shared" si="38"/>
        <v>Low Energy</v>
      </c>
      <c r="N483" s="18">
        <v>0.35299999999999998</v>
      </c>
      <c r="O483" s="18">
        <v>3</v>
      </c>
      <c r="P483" s="18">
        <v>-10.191000000000001</v>
      </c>
      <c r="Q483" s="18">
        <v>1</v>
      </c>
      <c r="R483" s="18">
        <v>4.6399999999999997E-2</v>
      </c>
      <c r="S483" s="18">
        <v>0.57099999999999995</v>
      </c>
      <c r="T483" s="18">
        <v>0.626</v>
      </c>
      <c r="U483" s="18">
        <v>8.77E-2</v>
      </c>
      <c r="V483" s="18">
        <v>0.32100000000000001</v>
      </c>
      <c r="W483" s="18">
        <v>54.570999999999998</v>
      </c>
      <c r="X483" s="18">
        <v>4</v>
      </c>
      <c r="Y483" s="19" t="s">
        <v>4</v>
      </c>
    </row>
    <row r="484" spans="1:25" x14ac:dyDescent="0.3">
      <c r="A484" s="14" t="s">
        <v>1468</v>
      </c>
      <c r="B484" s="15" t="s">
        <v>1469</v>
      </c>
      <c r="C484" s="15" t="s">
        <v>1470</v>
      </c>
      <c r="D484" s="15" t="s">
        <v>1471</v>
      </c>
      <c r="E484" s="15" t="str">
        <f t="shared" si="34"/>
        <v>Low</v>
      </c>
      <c r="F484" s="15">
        <v>30</v>
      </c>
      <c r="G484" s="30">
        <f t="shared" si="35"/>
        <v>40.802166666666665</v>
      </c>
      <c r="H484" s="15">
        <v>244813</v>
      </c>
      <c r="I484" s="15" t="str">
        <f t="shared" si="36"/>
        <v>Clean</v>
      </c>
      <c r="J484" s="15" t="b">
        <v>0</v>
      </c>
      <c r="K484" s="15" t="str">
        <f t="shared" si="37"/>
        <v>Very Danceable</v>
      </c>
      <c r="L484" s="15">
        <v>0.70699999999999996</v>
      </c>
      <c r="M484" s="15" t="str">
        <f t="shared" si="38"/>
        <v>Medium Energy</v>
      </c>
      <c r="N484" s="15">
        <v>0.53100000000000003</v>
      </c>
      <c r="O484" s="15">
        <v>2</v>
      </c>
      <c r="P484" s="15">
        <v>-7.21</v>
      </c>
      <c r="Q484" s="15">
        <v>1</v>
      </c>
      <c r="R484" s="15">
        <v>2.4500000000000001E-2</v>
      </c>
      <c r="S484" s="15">
        <v>0.85499999999999998</v>
      </c>
      <c r="T484" s="15">
        <v>1.8200000000000001E-4</v>
      </c>
      <c r="U484" s="15">
        <v>0.17499999999999999</v>
      </c>
      <c r="V484" s="15">
        <v>0.49</v>
      </c>
      <c r="W484" s="15">
        <v>107.994</v>
      </c>
      <c r="X484" s="15">
        <v>4</v>
      </c>
      <c r="Y484" s="16" t="s">
        <v>4</v>
      </c>
    </row>
    <row r="485" spans="1:25" x14ac:dyDescent="0.3">
      <c r="A485" s="17" t="s">
        <v>1472</v>
      </c>
      <c r="B485" s="18" t="s">
        <v>1469</v>
      </c>
      <c r="C485" s="18" t="s">
        <v>1470</v>
      </c>
      <c r="D485" s="18" t="s">
        <v>1473</v>
      </c>
      <c r="E485" s="18" t="str">
        <f t="shared" si="34"/>
        <v>Low</v>
      </c>
      <c r="F485" s="18">
        <v>30</v>
      </c>
      <c r="G485" s="30">
        <f t="shared" si="35"/>
        <v>28.288833333333333</v>
      </c>
      <c r="H485" s="18">
        <v>169733</v>
      </c>
      <c r="I485" s="18" t="str">
        <f t="shared" si="36"/>
        <v>Clean</v>
      </c>
      <c r="J485" s="18" t="b">
        <v>0</v>
      </c>
      <c r="K485" s="18" t="str">
        <f t="shared" si="37"/>
        <v>Very Danceable</v>
      </c>
      <c r="L485" s="18">
        <v>0.70699999999999996</v>
      </c>
      <c r="M485" s="18" t="str">
        <f t="shared" si="38"/>
        <v>Medium Energy</v>
      </c>
      <c r="N485" s="18">
        <v>0.46700000000000003</v>
      </c>
      <c r="O485" s="18">
        <v>2</v>
      </c>
      <c r="P485" s="18">
        <v>-7.5110000000000001</v>
      </c>
      <c r="Q485" s="18">
        <v>1</v>
      </c>
      <c r="R485" s="18">
        <v>3.6700000000000003E-2</v>
      </c>
      <c r="S485" s="18">
        <v>0.83199999999999996</v>
      </c>
      <c r="T485" s="21" t="s">
        <v>1474</v>
      </c>
      <c r="U485" s="18">
        <v>0.114</v>
      </c>
      <c r="V485" s="18">
        <v>0.47799999999999998</v>
      </c>
      <c r="W485" s="18">
        <v>110.096</v>
      </c>
      <c r="X485" s="18">
        <v>4</v>
      </c>
      <c r="Y485" s="19" t="s">
        <v>4</v>
      </c>
    </row>
    <row r="486" spans="1:25" x14ac:dyDescent="0.3">
      <c r="A486" s="14" t="s">
        <v>1475</v>
      </c>
      <c r="B486" s="15" t="s">
        <v>1476</v>
      </c>
      <c r="C486" s="15" t="s">
        <v>1477</v>
      </c>
      <c r="D486" s="15" t="s">
        <v>1478</v>
      </c>
      <c r="E486" s="15" t="str">
        <f t="shared" si="34"/>
        <v>Popular</v>
      </c>
      <c r="F486" s="15">
        <v>62</v>
      </c>
      <c r="G486" s="30">
        <f t="shared" si="35"/>
        <v>31.4</v>
      </c>
      <c r="H486" s="15">
        <v>188400</v>
      </c>
      <c r="I486" s="15" t="str">
        <f t="shared" si="36"/>
        <v>Clean</v>
      </c>
      <c r="J486" s="15" t="b">
        <v>0</v>
      </c>
      <c r="K486" s="15" t="str">
        <f t="shared" si="37"/>
        <v>Moderate</v>
      </c>
      <c r="L486" s="15">
        <v>0.66100000000000003</v>
      </c>
      <c r="M486" s="15" t="str">
        <f t="shared" si="38"/>
        <v>Low Energy</v>
      </c>
      <c r="N486" s="15">
        <v>0.34200000000000003</v>
      </c>
      <c r="O486" s="15">
        <v>9</v>
      </c>
      <c r="P486" s="15">
        <v>-16.361000000000001</v>
      </c>
      <c r="Q486" s="15">
        <v>0</v>
      </c>
      <c r="R486" s="15">
        <v>4.2999999999999997E-2</v>
      </c>
      <c r="S486" s="15">
        <v>0.84399999999999997</v>
      </c>
      <c r="T486" s="15">
        <v>1.2799999999999999E-4</v>
      </c>
      <c r="U486" s="15">
        <v>0.26</v>
      </c>
      <c r="V486" s="15">
        <v>0.58799999999999997</v>
      </c>
      <c r="W486" s="15">
        <v>146.11799999999999</v>
      </c>
      <c r="X486" s="15">
        <v>4</v>
      </c>
      <c r="Y486" s="16" t="s">
        <v>4</v>
      </c>
    </row>
    <row r="487" spans="1:25" x14ac:dyDescent="0.3">
      <c r="A487" s="17" t="s">
        <v>1479</v>
      </c>
      <c r="B487" s="18" t="s">
        <v>589</v>
      </c>
      <c r="C487" s="18" t="s">
        <v>590</v>
      </c>
      <c r="D487" s="18" t="s">
        <v>1134</v>
      </c>
      <c r="E487" s="18" t="str">
        <f t="shared" si="34"/>
        <v>Popular</v>
      </c>
      <c r="F487" s="18">
        <v>64</v>
      </c>
      <c r="G487" s="30">
        <f t="shared" si="35"/>
        <v>45.74666666666667</v>
      </c>
      <c r="H487" s="18">
        <v>274480</v>
      </c>
      <c r="I487" s="18" t="str">
        <f t="shared" si="36"/>
        <v>Clean</v>
      </c>
      <c r="J487" s="18" t="b">
        <v>0</v>
      </c>
      <c r="K487" s="18" t="str">
        <f t="shared" si="37"/>
        <v>Moderate</v>
      </c>
      <c r="L487" s="18">
        <v>0.52300000000000002</v>
      </c>
      <c r="M487" s="18" t="str">
        <f t="shared" si="38"/>
        <v>Medium Energy</v>
      </c>
      <c r="N487" s="18">
        <v>0.55400000000000005</v>
      </c>
      <c r="O487" s="18">
        <v>7</v>
      </c>
      <c r="P487" s="18">
        <v>-7.5960000000000001</v>
      </c>
      <c r="Q487" s="18">
        <v>1</v>
      </c>
      <c r="R487" s="18">
        <v>3.0300000000000001E-2</v>
      </c>
      <c r="S487" s="18">
        <v>0.749</v>
      </c>
      <c r="T487" s="21" t="s">
        <v>1480</v>
      </c>
      <c r="U487" s="18">
        <v>0.32300000000000001</v>
      </c>
      <c r="V487" s="18">
        <v>0.76900000000000002</v>
      </c>
      <c r="W487" s="18">
        <v>152.97900000000001</v>
      </c>
      <c r="X487" s="18">
        <v>4</v>
      </c>
      <c r="Y487" s="19" t="s">
        <v>4</v>
      </c>
    </row>
    <row r="488" spans="1:25" x14ac:dyDescent="0.3">
      <c r="A488" s="14" t="s">
        <v>1481</v>
      </c>
      <c r="B488" s="15" t="s">
        <v>1482</v>
      </c>
      <c r="C488" s="15" t="s">
        <v>1483</v>
      </c>
      <c r="D488" s="15" t="s">
        <v>1484</v>
      </c>
      <c r="E488" s="15" t="str">
        <f t="shared" si="34"/>
        <v>Average</v>
      </c>
      <c r="F488" s="15">
        <v>57</v>
      </c>
      <c r="G488" s="30">
        <f t="shared" si="35"/>
        <v>45.87766666666667</v>
      </c>
      <c r="H488" s="15">
        <v>275266</v>
      </c>
      <c r="I488" s="15" t="str">
        <f t="shared" si="36"/>
        <v>Clean</v>
      </c>
      <c r="J488" s="15" t="b">
        <v>0</v>
      </c>
      <c r="K488" s="15" t="str">
        <f t="shared" si="37"/>
        <v>Moderate</v>
      </c>
      <c r="L488" s="15">
        <v>0.57199999999999995</v>
      </c>
      <c r="M488" s="15" t="str">
        <f t="shared" si="38"/>
        <v>Low Energy</v>
      </c>
      <c r="N488" s="15">
        <v>0.34799999999999998</v>
      </c>
      <c r="O488" s="15">
        <v>0</v>
      </c>
      <c r="P488" s="15">
        <v>-13.454000000000001</v>
      </c>
      <c r="Q488" s="15">
        <v>1</v>
      </c>
      <c r="R488" s="15">
        <v>2.9399999999999999E-2</v>
      </c>
      <c r="S488" s="15">
        <v>0.44</v>
      </c>
      <c r="T488" s="15">
        <v>7.2099999999999996E-4</v>
      </c>
      <c r="U488" s="15">
        <v>0.23499999999999999</v>
      </c>
      <c r="V488" s="15">
        <v>0.34</v>
      </c>
      <c r="W488" s="15">
        <v>73.304000000000002</v>
      </c>
      <c r="X488" s="15">
        <v>4</v>
      </c>
      <c r="Y488" s="16" t="s">
        <v>4</v>
      </c>
    </row>
    <row r="489" spans="1:25" x14ac:dyDescent="0.3">
      <c r="A489" s="17" t="s">
        <v>1485</v>
      </c>
      <c r="B489" s="18" t="s">
        <v>1486</v>
      </c>
      <c r="C489" s="18" t="s">
        <v>1487</v>
      </c>
      <c r="D489" s="18" t="s">
        <v>1488</v>
      </c>
      <c r="E489" s="18" t="str">
        <f t="shared" si="34"/>
        <v>Low</v>
      </c>
      <c r="F489" s="18">
        <v>31</v>
      </c>
      <c r="G489" s="30">
        <f t="shared" si="35"/>
        <v>20.733333333333334</v>
      </c>
      <c r="H489" s="18">
        <v>124400</v>
      </c>
      <c r="I489" s="18" t="str">
        <f t="shared" si="36"/>
        <v>Clean</v>
      </c>
      <c r="J489" s="18" t="b">
        <v>0</v>
      </c>
      <c r="K489" s="18" t="str">
        <f t="shared" si="37"/>
        <v>Moderate</v>
      </c>
      <c r="L489" s="18">
        <v>0.55400000000000005</v>
      </c>
      <c r="M489" s="18" t="str">
        <f t="shared" si="38"/>
        <v>Medium Energy</v>
      </c>
      <c r="N489" s="18">
        <v>0.4</v>
      </c>
      <c r="O489" s="18">
        <v>3</v>
      </c>
      <c r="P489" s="18">
        <v>-11.805999999999999</v>
      </c>
      <c r="Q489" s="18">
        <v>1</v>
      </c>
      <c r="R489" s="18">
        <v>6.9900000000000004E-2</v>
      </c>
      <c r="S489" s="18">
        <v>0.97899999999999998</v>
      </c>
      <c r="T489" s="18">
        <v>0.34799999999999998</v>
      </c>
      <c r="U489" s="18">
        <v>0.10199999999999999</v>
      </c>
      <c r="V489" s="18">
        <v>0.54700000000000004</v>
      </c>
      <c r="W489" s="18">
        <v>101.191</v>
      </c>
      <c r="X489" s="18">
        <v>4</v>
      </c>
      <c r="Y489" s="19" t="s">
        <v>4</v>
      </c>
    </row>
    <row r="490" spans="1:25" x14ac:dyDescent="0.3">
      <c r="A490" s="14" t="s">
        <v>1489</v>
      </c>
      <c r="B490" s="15" t="s">
        <v>1490</v>
      </c>
      <c r="C490" s="15" t="s">
        <v>1490</v>
      </c>
      <c r="D490" s="15" t="s">
        <v>1491</v>
      </c>
      <c r="E490" s="15" t="str">
        <f t="shared" si="34"/>
        <v>Popular</v>
      </c>
      <c r="F490" s="15">
        <v>71</v>
      </c>
      <c r="G490" s="30">
        <f t="shared" si="35"/>
        <v>24.284333333333333</v>
      </c>
      <c r="H490" s="15">
        <v>145706</v>
      </c>
      <c r="I490" s="15" t="str">
        <f t="shared" si="36"/>
        <v>Clean</v>
      </c>
      <c r="J490" s="15" t="b">
        <v>0</v>
      </c>
      <c r="K490" s="15" t="str">
        <f t="shared" si="37"/>
        <v>Very Danceable</v>
      </c>
      <c r="L490" s="15">
        <v>0.72599999999999998</v>
      </c>
      <c r="M490" s="15" t="str">
        <f t="shared" si="38"/>
        <v>Medium Energy</v>
      </c>
      <c r="N490" s="15">
        <v>0.53700000000000003</v>
      </c>
      <c r="O490" s="15">
        <v>0</v>
      </c>
      <c r="P490" s="15">
        <v>-8.8960000000000008</v>
      </c>
      <c r="Q490" s="15">
        <v>1</v>
      </c>
      <c r="R490" s="15">
        <v>0.114</v>
      </c>
      <c r="S490" s="15">
        <v>0.316</v>
      </c>
      <c r="T490" s="15">
        <v>0</v>
      </c>
      <c r="U490" s="15">
        <v>7.0699999999999999E-2</v>
      </c>
      <c r="V490" s="15">
        <v>0.88200000000000001</v>
      </c>
      <c r="W490" s="15">
        <v>96.888999999999996</v>
      </c>
      <c r="X490" s="15">
        <v>4</v>
      </c>
      <c r="Y490" s="16" t="s">
        <v>4</v>
      </c>
    </row>
    <row r="491" spans="1:25" x14ac:dyDescent="0.3">
      <c r="A491" s="17" t="s">
        <v>1492</v>
      </c>
      <c r="B491" s="18" t="s">
        <v>735</v>
      </c>
      <c r="C491" s="18" t="s">
        <v>1493</v>
      </c>
      <c r="D491" s="18" t="s">
        <v>1494</v>
      </c>
      <c r="E491" s="18" t="str">
        <f t="shared" si="34"/>
        <v>Low</v>
      </c>
      <c r="F491" s="18">
        <v>31</v>
      </c>
      <c r="G491" s="30">
        <f t="shared" si="35"/>
        <v>44.199166666666663</v>
      </c>
      <c r="H491" s="18">
        <v>265195</v>
      </c>
      <c r="I491" s="18" t="str">
        <f t="shared" si="36"/>
        <v>Clean</v>
      </c>
      <c r="J491" s="18" t="b">
        <v>1</v>
      </c>
      <c r="K491" s="18" t="str">
        <f t="shared" si="37"/>
        <v>Moderate</v>
      </c>
      <c r="L491" s="18">
        <v>0.501</v>
      </c>
      <c r="M491" s="18" t="str">
        <f t="shared" si="38"/>
        <v>Medium Energy</v>
      </c>
      <c r="N491" s="18">
        <v>0.67200000000000004</v>
      </c>
      <c r="O491" s="18">
        <v>2</v>
      </c>
      <c r="P491" s="18">
        <v>-10.225</v>
      </c>
      <c r="Q491" s="18">
        <v>0</v>
      </c>
      <c r="R491" s="18">
        <v>6.3700000000000007E-2</v>
      </c>
      <c r="S491" s="18">
        <v>0.67400000000000004</v>
      </c>
      <c r="T491" s="18">
        <v>1.6200000000000001E-4</v>
      </c>
      <c r="U491" s="18">
        <v>6.7400000000000002E-2</v>
      </c>
      <c r="V491" s="18">
        <v>0.96099999999999997</v>
      </c>
      <c r="W491" s="18">
        <v>122.041</v>
      </c>
      <c r="X491" s="18">
        <v>4</v>
      </c>
      <c r="Y491" s="19" t="s">
        <v>4</v>
      </c>
    </row>
    <row r="492" spans="1:25" x14ac:dyDescent="0.3">
      <c r="A492" s="14" t="s">
        <v>1495</v>
      </c>
      <c r="B492" s="15" t="s">
        <v>1496</v>
      </c>
      <c r="C492" s="15" t="s">
        <v>1497</v>
      </c>
      <c r="D492" s="15" t="s">
        <v>1498</v>
      </c>
      <c r="E492" s="15" t="str">
        <f t="shared" si="34"/>
        <v>Low</v>
      </c>
      <c r="F492" s="15">
        <v>30</v>
      </c>
      <c r="G492" s="30">
        <f t="shared" si="35"/>
        <v>39.286999999999999</v>
      </c>
      <c r="H492" s="15">
        <v>235722</v>
      </c>
      <c r="I492" s="15" t="str">
        <f t="shared" si="36"/>
        <v>Clean</v>
      </c>
      <c r="J492" s="15" t="b">
        <v>0</v>
      </c>
      <c r="K492" s="15" t="str">
        <f t="shared" si="37"/>
        <v>Moderate</v>
      </c>
      <c r="L492" s="15">
        <v>0.505</v>
      </c>
      <c r="M492" s="15" t="str">
        <f t="shared" si="38"/>
        <v>Medium Energy</v>
      </c>
      <c r="N492" s="15">
        <v>0.46200000000000002</v>
      </c>
      <c r="O492" s="15">
        <v>6</v>
      </c>
      <c r="P492" s="15">
        <v>-5.6920000000000002</v>
      </c>
      <c r="Q492" s="15">
        <v>1</v>
      </c>
      <c r="R492" s="15">
        <v>2.7099999999999999E-2</v>
      </c>
      <c r="S492" s="15">
        <v>0.623</v>
      </c>
      <c r="T492" s="15">
        <v>0</v>
      </c>
      <c r="U492" s="15">
        <v>0.113</v>
      </c>
      <c r="V492" s="15">
        <v>0.113</v>
      </c>
      <c r="W492" s="15">
        <v>139.91399999999999</v>
      </c>
      <c r="X492" s="15">
        <v>4</v>
      </c>
      <c r="Y492" s="16" t="s">
        <v>4</v>
      </c>
    </row>
    <row r="493" spans="1:25" x14ac:dyDescent="0.3">
      <c r="A493" s="17" t="s">
        <v>1499</v>
      </c>
      <c r="B493" s="18" t="s">
        <v>1053</v>
      </c>
      <c r="C493" s="18" t="s">
        <v>1356</v>
      </c>
      <c r="D493" s="18" t="s">
        <v>1500</v>
      </c>
      <c r="E493" s="18" t="str">
        <f t="shared" si="34"/>
        <v>Low</v>
      </c>
      <c r="F493" s="18">
        <v>30</v>
      </c>
      <c r="G493" s="30">
        <f t="shared" si="35"/>
        <v>31.492000000000001</v>
      </c>
      <c r="H493" s="18">
        <v>188952</v>
      </c>
      <c r="I493" s="18" t="str">
        <f t="shared" si="36"/>
        <v>Clean</v>
      </c>
      <c r="J493" s="18" t="b">
        <v>1</v>
      </c>
      <c r="K493" s="18" t="str">
        <f t="shared" si="37"/>
        <v>Moderate</v>
      </c>
      <c r="L493" s="18">
        <v>0.41499999999999998</v>
      </c>
      <c r="M493" s="18" t="str">
        <f t="shared" si="38"/>
        <v>High Energy</v>
      </c>
      <c r="N493" s="18">
        <v>0.71299999999999997</v>
      </c>
      <c r="O493" s="18">
        <v>0</v>
      </c>
      <c r="P493" s="18">
        <v>-5.5289999999999999</v>
      </c>
      <c r="Q493" s="18">
        <v>1</v>
      </c>
      <c r="R493" s="18">
        <v>3.4500000000000003E-2</v>
      </c>
      <c r="S493" s="18">
        <v>5.5500000000000001E-2</v>
      </c>
      <c r="T493" s="18">
        <v>0</v>
      </c>
      <c r="U493" s="18">
        <v>8.1100000000000005E-2</v>
      </c>
      <c r="V493" s="18">
        <v>0.36099999999999999</v>
      </c>
      <c r="W493" s="18">
        <v>83.69</v>
      </c>
      <c r="X493" s="18">
        <v>3</v>
      </c>
      <c r="Y493" s="19" t="s">
        <v>4</v>
      </c>
    </row>
    <row r="494" spans="1:25" x14ac:dyDescent="0.3">
      <c r="A494" s="14" t="s">
        <v>1501</v>
      </c>
      <c r="B494" s="15" t="s">
        <v>1502</v>
      </c>
      <c r="C494" s="15" t="s">
        <v>1503</v>
      </c>
      <c r="D494" s="15" t="s">
        <v>1504</v>
      </c>
      <c r="E494" s="15" t="str">
        <f t="shared" si="34"/>
        <v>Low</v>
      </c>
      <c r="F494" s="15">
        <v>30</v>
      </c>
      <c r="G494" s="30">
        <f t="shared" si="35"/>
        <v>40.208333333333336</v>
      </c>
      <c r="H494" s="15">
        <v>241250</v>
      </c>
      <c r="I494" s="15" t="str">
        <f t="shared" si="36"/>
        <v>Clean</v>
      </c>
      <c r="J494" s="15" t="b">
        <v>0</v>
      </c>
      <c r="K494" s="15" t="str">
        <f t="shared" si="37"/>
        <v>Moderate</v>
      </c>
      <c r="L494" s="15">
        <v>0.45800000000000002</v>
      </c>
      <c r="M494" s="15" t="str">
        <f t="shared" si="38"/>
        <v>High Energy</v>
      </c>
      <c r="N494" s="15">
        <v>0.82299999999999995</v>
      </c>
      <c r="O494" s="15">
        <v>6</v>
      </c>
      <c r="P494" s="15">
        <v>-4.2679999999999998</v>
      </c>
      <c r="Q494" s="15">
        <v>0</v>
      </c>
      <c r="R494" s="15">
        <v>6.1600000000000002E-2</v>
      </c>
      <c r="S494" s="15">
        <v>0.38200000000000001</v>
      </c>
      <c r="T494" s="15">
        <v>0</v>
      </c>
      <c r="U494" s="15">
        <v>0.20499999999999999</v>
      </c>
      <c r="V494" s="15">
        <v>0.42199999999999999</v>
      </c>
      <c r="W494" s="15">
        <v>131.63800000000001</v>
      </c>
      <c r="X494" s="15">
        <v>4</v>
      </c>
      <c r="Y494" s="16" t="s">
        <v>4</v>
      </c>
    </row>
    <row r="495" spans="1:25" x14ac:dyDescent="0.3">
      <c r="A495" s="17" t="s">
        <v>1505</v>
      </c>
      <c r="B495" s="18" t="s">
        <v>1053</v>
      </c>
      <c r="C495" s="18" t="s">
        <v>1356</v>
      </c>
      <c r="D495" s="18" t="s">
        <v>1506</v>
      </c>
      <c r="E495" s="18" t="str">
        <f t="shared" si="34"/>
        <v>Low</v>
      </c>
      <c r="F495" s="18">
        <v>30</v>
      </c>
      <c r="G495" s="30">
        <f t="shared" si="35"/>
        <v>24.354833333333332</v>
      </c>
      <c r="H495" s="18">
        <v>146129</v>
      </c>
      <c r="I495" s="18" t="str">
        <f t="shared" si="36"/>
        <v>Clean</v>
      </c>
      <c r="J495" s="18" t="b">
        <v>1</v>
      </c>
      <c r="K495" s="18" t="str">
        <f t="shared" si="37"/>
        <v>Moderate</v>
      </c>
      <c r="L495" s="18">
        <v>0.47399999999999998</v>
      </c>
      <c r="M495" s="18" t="str">
        <f t="shared" si="38"/>
        <v>High Energy</v>
      </c>
      <c r="N495" s="18">
        <v>0.876</v>
      </c>
      <c r="O495" s="18">
        <v>7</v>
      </c>
      <c r="P495" s="18">
        <v>-5.0519999999999996</v>
      </c>
      <c r="Q495" s="18">
        <v>1</v>
      </c>
      <c r="R495" s="18">
        <v>3.4099999999999998E-2</v>
      </c>
      <c r="S495" s="18">
        <v>2.7699999999999999E-3</v>
      </c>
      <c r="T495" s="21" t="s">
        <v>1507</v>
      </c>
      <c r="U495" s="18">
        <v>0.39</v>
      </c>
      <c r="V495" s="18">
        <v>0.60699999999999998</v>
      </c>
      <c r="W495" s="18">
        <v>91.947999999999993</v>
      </c>
      <c r="X495" s="18">
        <v>4</v>
      </c>
      <c r="Y495" s="19" t="s">
        <v>4</v>
      </c>
    </row>
    <row r="496" spans="1:25" x14ac:dyDescent="0.3">
      <c r="A496" s="14" t="s">
        <v>1508</v>
      </c>
      <c r="B496" s="15" t="s">
        <v>1049</v>
      </c>
      <c r="C496" s="15" t="s">
        <v>1374</v>
      </c>
      <c r="D496" s="15" t="s">
        <v>1509</v>
      </c>
      <c r="E496" s="15" t="str">
        <f t="shared" si="34"/>
        <v>Low</v>
      </c>
      <c r="F496" s="15">
        <v>30</v>
      </c>
      <c r="G496" s="30">
        <f t="shared" si="35"/>
        <v>26.8675</v>
      </c>
      <c r="H496" s="15">
        <v>161205</v>
      </c>
      <c r="I496" s="15" t="str">
        <f t="shared" si="36"/>
        <v>Clean</v>
      </c>
      <c r="J496" s="15" t="b">
        <v>1</v>
      </c>
      <c r="K496" s="15" t="str">
        <f t="shared" si="37"/>
        <v>Moderate</v>
      </c>
      <c r="L496" s="15">
        <v>0.44400000000000001</v>
      </c>
      <c r="M496" s="15" t="str">
        <f t="shared" si="38"/>
        <v>Medium Energy</v>
      </c>
      <c r="N496" s="15">
        <v>0.67400000000000004</v>
      </c>
      <c r="O496" s="15">
        <v>5</v>
      </c>
      <c r="P496" s="15">
        <v>-6.6749999999999998</v>
      </c>
      <c r="Q496" s="15">
        <v>1</v>
      </c>
      <c r="R496" s="15">
        <v>3.4099999999999998E-2</v>
      </c>
      <c r="S496" s="15">
        <v>0.58599999999999997</v>
      </c>
      <c r="T496" s="15">
        <v>1.47E-4</v>
      </c>
      <c r="U496" s="15">
        <v>0.109</v>
      </c>
      <c r="V496" s="15">
        <v>0.69799999999999995</v>
      </c>
      <c r="W496" s="15">
        <v>111.377</v>
      </c>
      <c r="X496" s="15">
        <v>3</v>
      </c>
      <c r="Y496" s="16" t="s">
        <v>4</v>
      </c>
    </row>
    <row r="497" spans="1:25" x14ac:dyDescent="0.3">
      <c r="A497" s="17" t="s">
        <v>1510</v>
      </c>
      <c r="B497" s="18" t="s">
        <v>398</v>
      </c>
      <c r="C497" s="18" t="s">
        <v>1511</v>
      </c>
      <c r="D497" s="18" t="s">
        <v>1512</v>
      </c>
      <c r="E497" s="18" t="str">
        <f t="shared" si="34"/>
        <v>Average</v>
      </c>
      <c r="F497" s="18">
        <v>59</v>
      </c>
      <c r="G497" s="30">
        <f t="shared" si="35"/>
        <v>35.868833333333335</v>
      </c>
      <c r="H497" s="18">
        <v>215213</v>
      </c>
      <c r="I497" s="18" t="str">
        <f t="shared" si="36"/>
        <v>Clean</v>
      </c>
      <c r="J497" s="18" t="b">
        <v>0</v>
      </c>
      <c r="K497" s="18" t="str">
        <f t="shared" si="37"/>
        <v>Moderate</v>
      </c>
      <c r="L497" s="18">
        <v>0.56599999999999995</v>
      </c>
      <c r="M497" s="18" t="str">
        <f t="shared" si="38"/>
        <v>High Energy</v>
      </c>
      <c r="N497" s="18">
        <v>0.73299999999999998</v>
      </c>
      <c r="O497" s="18">
        <v>4</v>
      </c>
      <c r="P497" s="18">
        <v>-5.3019999999999996</v>
      </c>
      <c r="Q497" s="18">
        <v>1</v>
      </c>
      <c r="R497" s="18">
        <v>6.9900000000000004E-2</v>
      </c>
      <c r="S497" s="18">
        <v>8.3000000000000004E-2</v>
      </c>
      <c r="T497" s="21" t="s">
        <v>1513</v>
      </c>
      <c r="U497" s="18">
        <v>0.36199999999999999</v>
      </c>
      <c r="V497" s="18">
        <v>0.63600000000000001</v>
      </c>
      <c r="W497" s="18">
        <v>178.828</v>
      </c>
      <c r="X497" s="18">
        <v>4</v>
      </c>
      <c r="Y497" s="19" t="s">
        <v>4</v>
      </c>
    </row>
    <row r="498" spans="1:25" x14ac:dyDescent="0.3">
      <c r="A498" s="14" t="s">
        <v>1514</v>
      </c>
      <c r="B498" s="15" t="s">
        <v>1053</v>
      </c>
      <c r="C498" s="15" t="s">
        <v>1515</v>
      </c>
      <c r="D498" s="15" t="s">
        <v>1516</v>
      </c>
      <c r="E498" s="15" t="str">
        <f t="shared" si="34"/>
        <v>Low</v>
      </c>
      <c r="F498" s="15">
        <v>30</v>
      </c>
      <c r="G498" s="30">
        <f t="shared" si="35"/>
        <v>32.802166666666665</v>
      </c>
      <c r="H498" s="15">
        <v>196813</v>
      </c>
      <c r="I498" s="15" t="str">
        <f t="shared" si="36"/>
        <v>Clean</v>
      </c>
      <c r="J498" s="15" t="b">
        <v>0</v>
      </c>
      <c r="K498" s="15" t="str">
        <f t="shared" si="37"/>
        <v>Low</v>
      </c>
      <c r="L498" s="15">
        <v>0.36699999999999999</v>
      </c>
      <c r="M498" s="15" t="str">
        <f t="shared" si="38"/>
        <v>High Energy</v>
      </c>
      <c r="N498" s="15">
        <v>0.89200000000000002</v>
      </c>
      <c r="O498" s="15">
        <v>2</v>
      </c>
      <c r="P498" s="15">
        <v>-3.91</v>
      </c>
      <c r="Q498" s="15">
        <v>1</v>
      </c>
      <c r="R498" s="15">
        <v>0.13300000000000001</v>
      </c>
      <c r="S498" s="15">
        <v>1.2E-4</v>
      </c>
      <c r="T498" s="15">
        <v>2.6800000000000001E-4</v>
      </c>
      <c r="U498" s="15">
        <v>0.27600000000000002</v>
      </c>
      <c r="V498" s="15">
        <v>0.79900000000000004</v>
      </c>
      <c r="W498" s="15">
        <v>81.927999999999997</v>
      </c>
      <c r="X498" s="15">
        <v>4</v>
      </c>
      <c r="Y498" s="16" t="s">
        <v>4</v>
      </c>
    </row>
    <row r="499" spans="1:25" x14ac:dyDescent="0.3">
      <c r="A499" s="17" t="s">
        <v>1517</v>
      </c>
      <c r="B499" s="18" t="s">
        <v>1049</v>
      </c>
      <c r="C499" s="18" t="s">
        <v>1374</v>
      </c>
      <c r="D499" s="18" t="s">
        <v>1518</v>
      </c>
      <c r="E499" s="18" t="str">
        <f t="shared" si="34"/>
        <v>Low</v>
      </c>
      <c r="F499" s="18">
        <v>30</v>
      </c>
      <c r="G499" s="30">
        <f t="shared" si="35"/>
        <v>30.702833333333334</v>
      </c>
      <c r="H499" s="18">
        <v>184217</v>
      </c>
      <c r="I499" s="18" t="str">
        <f t="shared" si="36"/>
        <v>Clean</v>
      </c>
      <c r="J499" s="18" t="b">
        <v>1</v>
      </c>
      <c r="K499" s="18" t="str">
        <f t="shared" si="37"/>
        <v>Low</v>
      </c>
      <c r="L499" s="18">
        <v>0.25800000000000001</v>
      </c>
      <c r="M499" s="18" t="str">
        <f t="shared" si="38"/>
        <v>High Energy</v>
      </c>
      <c r="N499" s="18">
        <v>0.72899999999999998</v>
      </c>
      <c r="O499" s="18">
        <v>4</v>
      </c>
      <c r="P499" s="18">
        <v>-6.4569999999999999</v>
      </c>
      <c r="Q499" s="18">
        <v>0</v>
      </c>
      <c r="R499" s="18">
        <v>3.9800000000000002E-2</v>
      </c>
      <c r="S499" s="18">
        <v>0.39500000000000002</v>
      </c>
      <c r="T499" s="18">
        <v>4.4200000000000003E-3</v>
      </c>
      <c r="U499" s="18">
        <v>0.13100000000000001</v>
      </c>
      <c r="V499" s="18">
        <v>0.46200000000000002</v>
      </c>
      <c r="W499" s="18">
        <v>116.943</v>
      </c>
      <c r="X499" s="18">
        <v>3</v>
      </c>
      <c r="Y499" s="19" t="s">
        <v>4</v>
      </c>
    </row>
    <row r="500" spans="1:25" x14ac:dyDescent="0.3">
      <c r="A500" s="23" t="s">
        <v>1519</v>
      </c>
      <c r="B500" s="24" t="s">
        <v>136</v>
      </c>
      <c r="C500" s="24" t="s">
        <v>1520</v>
      </c>
      <c r="D500" s="24" t="s">
        <v>1521</v>
      </c>
      <c r="E500" s="24" t="str">
        <f t="shared" si="34"/>
        <v>Popular</v>
      </c>
      <c r="F500" s="24">
        <v>63</v>
      </c>
      <c r="G500" s="30">
        <f t="shared" si="35"/>
        <v>38.349666666666664</v>
      </c>
      <c r="H500" s="24">
        <v>230098</v>
      </c>
      <c r="I500" s="24" t="str">
        <f t="shared" si="36"/>
        <v>Clean</v>
      </c>
      <c r="J500" s="24" t="b">
        <v>0</v>
      </c>
      <c r="K500" s="24" t="str">
        <f t="shared" si="37"/>
        <v>Moderate</v>
      </c>
      <c r="L500" s="24">
        <v>0.56799999999999995</v>
      </c>
      <c r="M500" s="24" t="str">
        <f t="shared" si="38"/>
        <v>Medium Energy</v>
      </c>
      <c r="N500" s="24">
        <v>0.68600000000000005</v>
      </c>
      <c r="O500" s="24">
        <v>1</v>
      </c>
      <c r="P500" s="24">
        <v>-6.6349999999999998</v>
      </c>
      <c r="Q500" s="24">
        <v>1</v>
      </c>
      <c r="R500" s="24">
        <v>3.3000000000000002E-2</v>
      </c>
      <c r="S500" s="24">
        <v>0.15</v>
      </c>
      <c r="T500" s="25" t="s">
        <v>139</v>
      </c>
      <c r="U500" s="24">
        <v>8.8099999999999998E-2</v>
      </c>
      <c r="V500" s="24">
        <v>0.72499999999999998</v>
      </c>
      <c r="W500" s="24">
        <v>172.07499999999999</v>
      </c>
      <c r="X500" s="24">
        <v>4</v>
      </c>
      <c r="Y500" s="26" t="s">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FC996-8D97-4C9E-9576-B42D74093B39}">
  <dimension ref="A3:H54"/>
  <sheetViews>
    <sheetView tabSelected="1" zoomScale="15" zoomScaleNormal="34" workbookViewId="0">
      <selection activeCell="A13" sqref="A4:A13"/>
    </sheetView>
  </sheetViews>
  <sheetFormatPr defaultRowHeight="14.4" x14ac:dyDescent="0.3"/>
  <cols>
    <col min="1" max="1" width="60.109375" bestFit="1" customWidth="1"/>
    <col min="2" max="2" width="51.21875" bestFit="1" customWidth="1"/>
    <col min="3" max="3" width="14.5546875" bestFit="1" customWidth="1"/>
    <col min="4" max="4" width="23.21875" customWidth="1"/>
    <col min="5" max="5" width="35.5546875" customWidth="1"/>
    <col min="7" max="7" width="21.21875" customWidth="1"/>
    <col min="8" max="8" width="36.77734375" customWidth="1"/>
  </cols>
  <sheetData>
    <row r="3" spans="1:8" ht="21.6" thickBot="1" x14ac:dyDescent="0.45">
      <c r="A3" s="32" t="s">
        <v>1549</v>
      </c>
      <c r="B3" s="33" t="s">
        <v>1551</v>
      </c>
    </row>
    <row r="4" spans="1:8" ht="26.4" thickBot="1" x14ac:dyDescent="0.45">
      <c r="A4" s="34" t="s">
        <v>1</v>
      </c>
      <c r="B4" s="35">
        <v>73</v>
      </c>
      <c r="D4" s="36" t="s">
        <v>1554</v>
      </c>
      <c r="E4" s="36" t="s">
        <v>1560</v>
      </c>
      <c r="G4" s="32" t="s">
        <v>1549</v>
      </c>
      <c r="H4" s="33" t="s">
        <v>1553</v>
      </c>
    </row>
    <row r="5" spans="1:8" ht="25.8" x14ac:dyDescent="0.4">
      <c r="A5" s="34" t="s">
        <v>115</v>
      </c>
      <c r="B5" s="35">
        <v>73</v>
      </c>
      <c r="D5" s="37" t="s">
        <v>1555</v>
      </c>
      <c r="E5" s="37">
        <f>COUNTA(Cleaned_Data!A:A)-1</f>
        <v>499</v>
      </c>
      <c r="G5" s="34" t="s">
        <v>1552</v>
      </c>
      <c r="H5" s="35">
        <v>499</v>
      </c>
    </row>
    <row r="6" spans="1:8" ht="25.8" x14ac:dyDescent="0.4">
      <c r="A6" s="34" t="s">
        <v>25</v>
      </c>
      <c r="B6" s="35">
        <v>72</v>
      </c>
      <c r="D6" s="38" t="s">
        <v>1556</v>
      </c>
      <c r="E6" s="38">
        <f>AVERAGE(Cleaned_Data!F:F)</f>
        <v>45.655310621242485</v>
      </c>
      <c r="G6" s="34" t="s">
        <v>1550</v>
      </c>
      <c r="H6" s="35">
        <v>499</v>
      </c>
    </row>
    <row r="7" spans="1:8" ht="25.8" x14ac:dyDescent="0.4">
      <c r="A7" s="34" t="s">
        <v>1490</v>
      </c>
      <c r="B7" s="35">
        <v>71</v>
      </c>
      <c r="D7" s="38" t="s">
        <v>1557</v>
      </c>
      <c r="E7" s="38">
        <f>AVERAGE(Cleaned_Data!U:U)</f>
        <v>0.14454569138276552</v>
      </c>
    </row>
    <row r="8" spans="1:8" ht="26.4" thickBot="1" x14ac:dyDescent="0.45">
      <c r="A8" s="34" t="s">
        <v>34</v>
      </c>
      <c r="B8" s="35">
        <v>71</v>
      </c>
      <c r="D8" s="39" t="s">
        <v>1558</v>
      </c>
      <c r="E8" s="39">
        <f>COUNTA(_xlfn.UNIQUE(Cleaned_Data!B:B))-1</f>
        <v>199</v>
      </c>
    </row>
    <row r="9" spans="1:8" ht="21" x14ac:dyDescent="0.4">
      <c r="A9" s="34" t="s">
        <v>402</v>
      </c>
      <c r="B9" s="35">
        <v>71</v>
      </c>
    </row>
    <row r="10" spans="1:8" ht="21" x14ac:dyDescent="0.4">
      <c r="A10" s="34" t="s">
        <v>40</v>
      </c>
      <c r="B10" s="35">
        <v>69.125</v>
      </c>
    </row>
    <row r="11" spans="1:8" ht="21" x14ac:dyDescent="0.4">
      <c r="A11" s="34" t="s">
        <v>549</v>
      </c>
      <c r="B11" s="35">
        <v>68</v>
      </c>
    </row>
    <row r="12" spans="1:8" ht="21" x14ac:dyDescent="0.4">
      <c r="A12" s="34" t="s">
        <v>168</v>
      </c>
      <c r="B12" s="35">
        <v>68</v>
      </c>
    </row>
    <row r="13" spans="1:8" ht="21" x14ac:dyDescent="0.4">
      <c r="A13" s="34" t="s">
        <v>184</v>
      </c>
      <c r="B13" s="35">
        <v>68</v>
      </c>
    </row>
    <row r="14" spans="1:8" ht="21" x14ac:dyDescent="0.4">
      <c r="A14" s="34" t="s">
        <v>1550</v>
      </c>
      <c r="B14" s="35">
        <v>69.695652173913047</v>
      </c>
    </row>
    <row r="15" spans="1:8" ht="21" x14ac:dyDescent="0.4"/>
    <row r="54" spans="1:2" ht="21" x14ac:dyDescent="0.4">
      <c r="A54" s="33"/>
      <c r="B54" s="33"/>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 Raw_Data</vt:lpstr>
      <vt:lpstr>Cleaned_Data</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kondeti paavani</dc:creator>
  <cp:lastModifiedBy>kondeti paavani</cp:lastModifiedBy>
  <dcterms:created xsi:type="dcterms:W3CDTF">2026-05-17T06:35:32Z</dcterms:created>
  <dcterms:modified xsi:type="dcterms:W3CDTF">2026-05-17T10:15:04Z</dcterms:modified>
</cp:coreProperties>
</file>